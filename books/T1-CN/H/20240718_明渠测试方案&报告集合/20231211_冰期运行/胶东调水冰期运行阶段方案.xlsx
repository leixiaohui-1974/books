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Desktop\冰期方案1206\"/>
    </mc:Choice>
  </mc:AlternateContent>
  <xr:revisionPtr revIDLastSave="0" documentId="13_ncr:1_{4BB9CA8C-5EE2-4CFD-B6FE-7EA671F0A818}" xr6:coauthVersionLast="47" xr6:coauthVersionMax="47" xr10:uidLastSave="{00000000-0000-0000-0000-000000000000}"/>
  <bookViews>
    <workbookView xWindow="-98" yWindow="-98" windowWidth="16395" windowHeight="102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2" i="1" l="1"/>
  <c r="J7" i="3" l="1"/>
  <c r="J8" i="3"/>
  <c r="J9" i="3"/>
  <c r="J10" i="3"/>
  <c r="J11" i="3"/>
  <c r="J12" i="3"/>
  <c r="J6" i="3"/>
  <c r="I7" i="3"/>
  <c r="I8" i="3"/>
  <c r="I9" i="3"/>
  <c r="I10" i="3"/>
  <c r="I11" i="3"/>
  <c r="I12" i="3"/>
  <c r="I6" i="3"/>
  <c r="H12" i="3"/>
  <c r="H11" i="3"/>
  <c r="H10" i="3"/>
  <c r="H9" i="3"/>
  <c r="H8" i="3"/>
  <c r="H6" i="3"/>
  <c r="H7" i="3"/>
  <c r="N2" i="1"/>
  <c r="N3" i="1"/>
  <c r="N6" i="1"/>
  <c r="N12" i="1"/>
  <c r="N17" i="1"/>
  <c r="N25" i="1"/>
  <c r="N32" i="1"/>
  <c r="N35" i="1"/>
  <c r="N40" i="1"/>
  <c r="N45" i="1"/>
  <c r="N48" i="1"/>
  <c r="N51" i="1"/>
  <c r="N58" i="1"/>
  <c r="N62" i="1"/>
  <c r="N65" i="1"/>
  <c r="N68" i="1"/>
  <c r="N86" i="1"/>
  <c r="N71" i="1"/>
  <c r="N75" i="1"/>
  <c r="N78" i="1"/>
  <c r="N81" i="1"/>
  <c r="N90" i="1"/>
  <c r="N93" i="1"/>
  <c r="N98" i="1"/>
  <c r="N116" i="1"/>
  <c r="N123" i="1"/>
  <c r="N101" i="1"/>
  <c r="N104" i="1"/>
  <c r="N107" i="1"/>
  <c r="N110" i="1"/>
  <c r="N113" i="1"/>
  <c r="G2" i="2"/>
  <c r="F2" i="2"/>
  <c r="L114" i="1"/>
  <c r="L111" i="1"/>
  <c r="L108" i="1"/>
  <c r="L105" i="1"/>
  <c r="L102" i="1"/>
  <c r="L99" i="1"/>
  <c r="L91" i="1"/>
  <c r="L82" i="1"/>
  <c r="L79" i="1"/>
  <c r="L76" i="1"/>
  <c r="L72" i="1"/>
  <c r="L69" i="1"/>
  <c r="L66" i="1"/>
  <c r="L63" i="1"/>
  <c r="L59" i="1"/>
  <c r="L49" i="1"/>
  <c r="L46" i="1"/>
  <c r="L41" i="1"/>
  <c r="L36" i="1"/>
  <c r="L33" i="1"/>
  <c r="L26" i="1"/>
  <c r="L18" i="1"/>
  <c r="L13" i="1"/>
  <c r="L7" i="1"/>
  <c r="L4" i="1"/>
  <c r="L2" i="1"/>
</calcChain>
</file>

<file path=xl/sharedStrings.xml><?xml version="1.0" encoding="utf-8"?>
<sst xmlns="http://schemas.openxmlformats.org/spreadsheetml/2006/main" count="496" uniqueCount="212">
  <si>
    <t>序号</t>
  </si>
  <si>
    <t>站名</t>
  </si>
  <si>
    <t>桩号</t>
  </si>
  <si>
    <t>冰期目标水位（m）</t>
  </si>
  <si>
    <t>现状水位（m）</t>
  </si>
  <si>
    <t>现状流量 （m³/s）</t>
  </si>
  <si>
    <t>现状开度 （m）</t>
  </si>
  <si>
    <t>水深（m）</t>
  </si>
  <si>
    <t>设计水位蓄水量（万m³）</t>
  </si>
  <si>
    <t>实际蓄水量    （万m³）</t>
  </si>
  <si>
    <t>差值（万m³）</t>
  </si>
  <si>
    <t>起调时间（杨茗涵）</t>
  </si>
  <si>
    <t>开度（庞博）</t>
  </si>
  <si>
    <t>目标流量（杨茗涵）</t>
  </si>
  <si>
    <t>王道泵站前</t>
  </si>
  <si>
    <t>55+400</t>
  </si>
  <si>
    <t>/</t>
  </si>
  <si>
    <t>预备河倒虹前</t>
  </si>
  <si>
    <t>60+990</t>
  </si>
  <si>
    <t>预备河倒虹后</t>
  </si>
  <si>
    <t>塌河倒虹前</t>
  </si>
  <si>
    <t>66+987</t>
  </si>
  <si>
    <t>双王城水库分水口</t>
  </si>
  <si>
    <t>塌河倒虹后</t>
  </si>
  <si>
    <t>西张僧河倒虹前</t>
  </si>
  <si>
    <t>73+549</t>
  </si>
  <si>
    <t>西张僧河倒虹后</t>
  </si>
  <si>
    <t>宋庄泵站前</t>
  </si>
  <si>
    <t>77+795</t>
  </si>
  <si>
    <t>宋庄泵站后</t>
  </si>
  <si>
    <t>东张僧倒虹前</t>
  </si>
  <si>
    <t>82+804</t>
  </si>
  <si>
    <t>东张僧倒虹后</t>
  </si>
  <si>
    <t>弥河西堤前</t>
  </si>
  <si>
    <t>86+452</t>
  </si>
  <si>
    <t>官庄前分水闸联盟化工</t>
  </si>
  <si>
    <t>弥河西堤后</t>
  </si>
  <si>
    <t>弥河倒虹前</t>
  </si>
  <si>
    <t>87+452</t>
  </si>
  <si>
    <t>弥河倒虹后</t>
  </si>
  <si>
    <t>官庄沟倒虹前</t>
  </si>
  <si>
    <t>92+281</t>
  </si>
  <si>
    <t>官庄沟倒虹后</t>
  </si>
  <si>
    <t>新丹河倒虹前</t>
  </si>
  <si>
    <t>100+704</t>
  </si>
  <si>
    <t>新丹河倒虹后</t>
  </si>
  <si>
    <t>龙泽分水闸</t>
  </si>
  <si>
    <t>大地盐化</t>
  </si>
  <si>
    <t>丹河倒虹前</t>
  </si>
  <si>
    <t>103+819</t>
  </si>
  <si>
    <t>丹河倒虹后</t>
  </si>
  <si>
    <t>崔家河倒虹前</t>
  </si>
  <si>
    <t>108+972</t>
  </si>
  <si>
    <t>崔家河倒虹后</t>
  </si>
  <si>
    <t>白浪河倒虹前</t>
  </si>
  <si>
    <t>113+745</t>
  </si>
  <si>
    <t>白浪河倒虹后</t>
  </si>
  <si>
    <t>干河倒虹前</t>
  </si>
  <si>
    <t>115+770</t>
  </si>
  <si>
    <t>干河倒虹后</t>
  </si>
  <si>
    <t>利民河倒虹前</t>
  </si>
  <si>
    <t>124+462</t>
  </si>
  <si>
    <t>利民河倒虹后</t>
  </si>
  <si>
    <t>东虞河倒虹前</t>
  </si>
  <si>
    <t>126+718</t>
  </si>
  <si>
    <t>东虞河倒虹后</t>
  </si>
  <si>
    <t>阜康河倒虹前</t>
  </si>
  <si>
    <t>131+838</t>
  </si>
  <si>
    <t>阜康河倒虹后</t>
  </si>
  <si>
    <t>徐林庄节制闸前</t>
  </si>
  <si>
    <t>137+337</t>
  </si>
  <si>
    <t>徐林庄节制闸后</t>
  </si>
  <si>
    <t>王耨泵站前</t>
  </si>
  <si>
    <t>146+032</t>
  </si>
  <si>
    <t>昌邑地表水厂</t>
  </si>
  <si>
    <t>夹沟河倒虹前</t>
  </si>
  <si>
    <t>153+060</t>
  </si>
  <si>
    <t>夹沟河倒虹后</t>
  </si>
  <si>
    <t>潍河西堤穿涵闸前</t>
  </si>
  <si>
    <t>154+215</t>
  </si>
  <si>
    <t>潍河西堤穿涵闸后</t>
  </si>
  <si>
    <t>潍河中堤穿涵闸前</t>
  </si>
  <si>
    <t>156+176</t>
  </si>
  <si>
    <t>潍河中堤穿涵闸后</t>
  </si>
  <si>
    <t>宋庄分水闸(青)</t>
  </si>
  <si>
    <t>160+014</t>
  </si>
  <si>
    <t>东黄埠节制闸前</t>
  </si>
  <si>
    <t>162+834</t>
  </si>
  <si>
    <t>东黄埠节制闸后</t>
  </si>
  <si>
    <t>入吴沟河节制闸前</t>
  </si>
  <si>
    <t>169+379</t>
  </si>
  <si>
    <t>入吴沟河节制闸后</t>
  </si>
  <si>
    <t>北胶新河倒虹前</t>
  </si>
  <si>
    <t>175+454</t>
  </si>
  <si>
    <t>北胶新河倒虹后</t>
  </si>
  <si>
    <t>胶莱河倒虹前</t>
  </si>
  <si>
    <t>179+321</t>
  </si>
  <si>
    <t>明村分水闸</t>
  </si>
  <si>
    <t>胶莱河倒虹后</t>
  </si>
  <si>
    <t>联合沟倒虹前</t>
  </si>
  <si>
    <t>184+169</t>
  </si>
  <si>
    <t>联合沟倒虹后</t>
  </si>
  <si>
    <t>小刘庄节制前</t>
  </si>
  <si>
    <t>194+384</t>
  </si>
  <si>
    <t>小刘庄节制后</t>
  </si>
  <si>
    <t>昌平河倒虹前</t>
  </si>
  <si>
    <t>199+214</t>
  </si>
  <si>
    <t>昌平河倒虹后</t>
  </si>
  <si>
    <t>大西屯河倒虹前</t>
  </si>
  <si>
    <t>201+810</t>
  </si>
  <si>
    <t>大西屯河倒虹后</t>
  </si>
  <si>
    <t>亭口泵站前</t>
  </si>
  <si>
    <t>204+615</t>
  </si>
  <si>
    <t>亭口泵站后</t>
  </si>
  <si>
    <t>高密分水闸</t>
  </si>
  <si>
    <t>陈家沟倒虹前</t>
  </si>
  <si>
    <t>209+190</t>
  </si>
  <si>
    <t>陈家沟倒虹后</t>
  </si>
  <si>
    <t>白沙河倒虹前</t>
  </si>
  <si>
    <t>214+358</t>
  </si>
  <si>
    <t>白沙河倒虹后</t>
  </si>
  <si>
    <t>丰收沟倒虹前</t>
  </si>
  <si>
    <t>217+066</t>
  </si>
  <si>
    <t>丰收沟倒虹后</t>
  </si>
  <si>
    <t>清水河倒虹前</t>
  </si>
  <si>
    <t>218+087</t>
  </si>
  <si>
    <t>清水河倒虹后</t>
  </si>
  <si>
    <t>小清河倒虹前</t>
  </si>
  <si>
    <t>222+321</t>
  </si>
  <si>
    <t>西新河倒虹前</t>
  </si>
  <si>
    <t>226+612</t>
  </si>
  <si>
    <t>西新河倒虹后</t>
  </si>
  <si>
    <t>助水河倒虹前</t>
  </si>
  <si>
    <t>232+427</t>
  </si>
  <si>
    <t>助水河倒虹后</t>
  </si>
  <si>
    <t>刘家荒节制前</t>
  </si>
  <si>
    <t>235+819</t>
  </si>
  <si>
    <t>刘家荒节制后</t>
  </si>
  <si>
    <t>239+268</t>
  </si>
  <si>
    <t>大沽河倒虹进口前</t>
  </si>
  <si>
    <t>241+702</t>
  </si>
  <si>
    <t>3.61/0.12</t>
  </si>
  <si>
    <t>大沽河倒虹进口后</t>
  </si>
  <si>
    <t>大沽河倒虹穿涵闸前</t>
  </si>
  <si>
    <t>242+313</t>
  </si>
  <si>
    <t>大沽河倒虹穿涵闸后</t>
  </si>
  <si>
    <t>东小埠节制闸前</t>
  </si>
  <si>
    <t>245+586</t>
  </si>
  <si>
    <t>东小埠节制闸后</t>
  </si>
  <si>
    <t>小新河上节制闸前</t>
  </si>
  <si>
    <t>248+855</t>
  </si>
  <si>
    <t>小新河上节制闸后</t>
  </si>
  <si>
    <t>小新河下节制闸前</t>
  </si>
  <si>
    <t>249+241</t>
  </si>
  <si>
    <t>小新河下节制闸后</t>
  </si>
  <si>
    <t>桃源河倒虹前</t>
  </si>
  <si>
    <t>252+472</t>
  </si>
  <si>
    <t>桃源河倒虹后</t>
  </si>
  <si>
    <t>即墨分水闸</t>
  </si>
  <si>
    <t>棘洪滩泵站前</t>
  </si>
  <si>
    <t>252+816</t>
  </si>
  <si>
    <t>分水流量</t>
    <phoneticPr fontId="6" type="noConversion"/>
  </si>
  <si>
    <t>流量差</t>
    <phoneticPr fontId="6" type="noConversion"/>
  </si>
  <si>
    <t>调整时H</t>
    <phoneticPr fontId="6" type="noConversion"/>
  </si>
  <si>
    <t>差值</t>
    <phoneticPr fontId="6" type="noConversion"/>
  </si>
  <si>
    <t>T棘</t>
    <phoneticPr fontId="6" type="noConversion"/>
  </si>
  <si>
    <t>T棘-17min</t>
    <phoneticPr fontId="6" type="noConversion"/>
  </si>
  <si>
    <t>T棘+16min</t>
    <phoneticPr fontId="6" type="noConversion"/>
  </si>
  <si>
    <t>T棘+1h9min</t>
    <phoneticPr fontId="6" type="noConversion"/>
  </si>
  <si>
    <t>T棘+1h34min</t>
    <phoneticPr fontId="6" type="noConversion"/>
  </si>
  <si>
    <t>T棘+2h</t>
    <phoneticPr fontId="6" type="noConversion"/>
  </si>
  <si>
    <t>T棘+2h15min</t>
    <phoneticPr fontId="6" type="noConversion"/>
  </si>
  <si>
    <t>T棘+2h33min</t>
    <phoneticPr fontId="6" type="noConversion"/>
  </si>
  <si>
    <t>T棘+2h46min</t>
    <phoneticPr fontId="6" type="noConversion"/>
  </si>
  <si>
    <t>T棘+3h30min</t>
    <phoneticPr fontId="6" type="noConversion"/>
  </si>
  <si>
    <t>T棘+4h13min</t>
    <phoneticPr fontId="6" type="noConversion"/>
  </si>
  <si>
    <t>T亭=T棘+4h23min</t>
    <phoneticPr fontId="6" type="noConversion"/>
  </si>
  <si>
    <t>T亭+16min</t>
    <phoneticPr fontId="6" type="noConversion"/>
  </si>
  <si>
    <t>T亭+1h8min</t>
    <phoneticPr fontId="6" type="noConversion"/>
  </si>
  <si>
    <t>T亭+1h14min</t>
    <phoneticPr fontId="6" type="noConversion"/>
  </si>
  <si>
    <t>T胶=T亭+1h46min</t>
    <phoneticPr fontId="6" type="noConversion"/>
  </si>
  <si>
    <t>T王耨+56min</t>
    <phoneticPr fontId="6" type="noConversion"/>
  </si>
  <si>
    <t>T王耨+1h14min</t>
    <phoneticPr fontId="6" type="noConversion"/>
  </si>
  <si>
    <t>T王耨+1h37min</t>
    <phoneticPr fontId="6" type="noConversion"/>
  </si>
  <si>
    <t>T王耨+1h50min</t>
    <phoneticPr fontId="6" type="noConversion"/>
  </si>
  <si>
    <t>T王耨+2h49min</t>
    <phoneticPr fontId="6" type="noConversion"/>
  </si>
  <si>
    <t>T王耨+3h43min</t>
    <phoneticPr fontId="6" type="noConversion"/>
  </si>
  <si>
    <t>T王耨+4h11min</t>
    <phoneticPr fontId="6" type="noConversion"/>
  </si>
  <si>
    <t>T王耨+4h34min</t>
    <phoneticPr fontId="6" type="noConversion"/>
  </si>
  <si>
    <t>T王耨+4h56min</t>
    <phoneticPr fontId="6" type="noConversion"/>
  </si>
  <si>
    <t>T王耨+5h6min</t>
    <phoneticPr fontId="6" type="noConversion"/>
  </si>
  <si>
    <t>T王道=T王耨+5h38min</t>
    <phoneticPr fontId="6" type="noConversion"/>
  </si>
  <si>
    <t>塌河倒虹前</t>
    <phoneticPr fontId="6" type="noConversion"/>
  </si>
  <si>
    <t>西张僧河倒虹前</t>
    <phoneticPr fontId="6" type="noConversion"/>
  </si>
  <si>
    <t>目标水位</t>
    <phoneticPr fontId="6" type="noConversion"/>
  </si>
  <si>
    <t>当前水位</t>
    <phoneticPr fontId="6" type="noConversion"/>
  </si>
  <si>
    <t>蓄量</t>
    <phoneticPr fontId="6" type="noConversion"/>
  </si>
  <si>
    <t>时间差</t>
    <phoneticPr fontId="6" type="noConversion"/>
  </si>
  <si>
    <t>H</t>
    <phoneticPr fontId="6" type="noConversion"/>
  </si>
  <si>
    <t>T胶+0</t>
    <phoneticPr fontId="6" type="noConversion"/>
  </si>
  <si>
    <t>T胶+4h11min</t>
    <phoneticPr fontId="6" type="noConversion"/>
  </si>
  <si>
    <t>T胶+7h19min</t>
    <phoneticPr fontId="6" type="noConversion"/>
  </si>
  <si>
    <t>T胶+8h26min</t>
    <phoneticPr fontId="6" type="noConversion"/>
  </si>
  <si>
    <t>T胶+9h12min</t>
    <phoneticPr fontId="6" type="noConversion"/>
  </si>
  <si>
    <t>T王耨=T胶+9h19min</t>
    <phoneticPr fontId="6" type="noConversion"/>
  </si>
  <si>
    <t>/</t>
    <phoneticPr fontId="6" type="noConversion"/>
  </si>
  <si>
    <t>T王耨+4h43min</t>
    <phoneticPr fontId="6" type="noConversion"/>
  </si>
  <si>
    <t>T王耨+4h21min</t>
    <phoneticPr fontId="6" type="noConversion"/>
  </si>
  <si>
    <t>T王耨+3h59min</t>
    <phoneticPr fontId="6" type="noConversion"/>
  </si>
  <si>
    <t>T王耨+3h23min</t>
    <phoneticPr fontId="6" type="noConversion"/>
  </si>
  <si>
    <t>T王耨+1h47min</t>
    <phoneticPr fontId="6" type="noConversion"/>
  </si>
  <si>
    <t>T棘-1min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</si>
</sst>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10" x14ac:knownFonts="1">
    <font>
      <sz val="11"/>
      <color theme="1"/>
      <name val="宋体"/>
      <charset val="134"/>
      <scheme val="minor"/>
    </font>
    <font>
      <sz val="12"/>
      <name val="Arial"/>
      <family val="2"/>
    </font>
    <font>
      <sz val="12"/>
      <name val="等线"/>
      <family val="3"/>
      <charset val="134"/>
    </font>
    <font>
      <sz val="11"/>
      <color theme="1"/>
      <name val="等线"/>
      <family val="3"/>
      <charset val="134"/>
    </font>
    <font>
      <sz val="12"/>
      <name val="等线"/>
      <family val="3"/>
      <charset val="134"/>
    </font>
    <font>
      <sz val="12"/>
      <name val="等线"/>
      <family val="3"/>
      <charset val="134"/>
    </font>
    <font>
      <sz val="9"/>
      <name val="宋体"/>
      <family val="3"/>
      <charset val="134"/>
      <scheme val="minor"/>
    </font>
    <font>
      <sz val="12"/>
      <name val="等线"/>
      <family val="3"/>
      <charset val="134"/>
    </font>
    <font>
      <sz val="11"/>
      <color theme="1"/>
      <name val="等线"/>
      <family val="3"/>
      <charset val="134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20" fontId="1" fillId="6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/>
    <xf numFmtId="0" fontId="5" fillId="0" borderId="1" xfId="0" applyFont="1" applyBorder="1" applyAlignment="1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/>
    <xf numFmtId="0" fontId="0" fillId="0" borderId="0" xfId="0" applyFill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76" fontId="5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4"/>
  <sheetViews>
    <sheetView tabSelected="1" topLeftCell="A78" zoomScale="55" zoomScaleNormal="55" workbookViewId="0">
      <pane xSplit="2" topLeftCell="C1" activePane="topRight" state="frozen"/>
      <selection pane="topRight" activeCell="K139" sqref="K139"/>
    </sheetView>
  </sheetViews>
  <sheetFormatPr defaultColWidth="8.86328125" defaultRowHeight="13.5" x14ac:dyDescent="0.3"/>
  <cols>
    <col min="1" max="1" width="8.86328125" style="2"/>
    <col min="2" max="2" width="30.6640625" style="2" customWidth="1"/>
    <col min="3" max="3" width="10.53125" style="2" customWidth="1"/>
    <col min="4" max="7" width="7.796875" style="2" customWidth="1"/>
    <col min="8" max="8" width="13.06640625" style="38" customWidth="1"/>
    <col min="9" max="9" width="12.6640625" style="2" customWidth="1"/>
    <col min="10" max="10" width="12.53125" style="2" customWidth="1"/>
    <col min="11" max="11" width="16.53125" style="2" customWidth="1"/>
    <col min="12" max="12" width="14.59765625" style="2" customWidth="1"/>
    <col min="13" max="13" width="15.33203125" style="38" customWidth="1"/>
    <col min="14" max="14" width="15.33203125" style="2" customWidth="1"/>
    <col min="15" max="15" width="28.06640625" style="2" customWidth="1"/>
    <col min="16" max="16" width="22.6640625" style="2" customWidth="1"/>
    <col min="17" max="17" width="20.265625" style="38" customWidth="1"/>
    <col min="18" max="18" width="8.86328125" style="2"/>
  </cols>
  <sheetData>
    <row r="1" spans="1:19" ht="35" customHeight="1" x14ac:dyDescent="0.3">
      <c r="A1" s="15" t="s">
        <v>0</v>
      </c>
      <c r="B1" s="15" t="s">
        <v>1</v>
      </c>
      <c r="C1" s="17" t="s">
        <v>2</v>
      </c>
      <c r="D1" s="44" t="s">
        <v>3</v>
      </c>
      <c r="E1" s="44"/>
      <c r="F1" s="45" t="s">
        <v>4</v>
      </c>
      <c r="G1" s="45"/>
      <c r="H1" s="35" t="s">
        <v>5</v>
      </c>
      <c r="I1" s="3" t="s">
        <v>6</v>
      </c>
      <c r="J1" s="17" t="s">
        <v>7</v>
      </c>
      <c r="K1" s="11" t="s">
        <v>8</v>
      </c>
      <c r="L1" s="11" t="s">
        <v>9</v>
      </c>
      <c r="M1" s="39" t="s">
        <v>10</v>
      </c>
      <c r="N1" s="23" t="s">
        <v>164</v>
      </c>
      <c r="O1" s="12" t="s">
        <v>11</v>
      </c>
      <c r="P1" s="12" t="s">
        <v>12</v>
      </c>
      <c r="Q1" s="40" t="s">
        <v>13</v>
      </c>
      <c r="R1" s="24" t="s">
        <v>161</v>
      </c>
      <c r="S1" s="25">
        <v>0.72222222222222199</v>
      </c>
    </row>
    <row r="2" spans="1:19" s="1" customFormat="1" ht="15" x14ac:dyDescent="0.4">
      <c r="A2" s="15">
        <v>1</v>
      </c>
      <c r="B2" s="4" t="s">
        <v>14</v>
      </c>
      <c r="C2" s="17" t="s">
        <v>15</v>
      </c>
      <c r="D2" s="17">
        <v>1.9</v>
      </c>
      <c r="E2" s="17">
        <v>4.45</v>
      </c>
      <c r="F2" s="15">
        <v>1.96</v>
      </c>
      <c r="G2" s="15" t="s">
        <v>16</v>
      </c>
      <c r="H2" s="36">
        <v>35.5</v>
      </c>
      <c r="I2" s="15" t="s">
        <v>16</v>
      </c>
      <c r="J2" s="15" t="s">
        <v>16</v>
      </c>
      <c r="K2" s="44">
        <v>46.52</v>
      </c>
      <c r="L2" s="44">
        <f>K2-M2</f>
        <v>16.560000000000002</v>
      </c>
      <c r="M2" s="56">
        <v>29.96</v>
      </c>
      <c r="N2" s="17">
        <f>M2/(H3-Q2)*100/36</f>
        <v>18.535016085127435</v>
      </c>
      <c r="O2" s="31" t="s">
        <v>191</v>
      </c>
      <c r="P2" s="26"/>
      <c r="Q2" s="41">
        <v>30.5</v>
      </c>
      <c r="R2" s="26"/>
      <c r="S2" s="27"/>
    </row>
    <row r="3" spans="1:19" s="1" customFormat="1" ht="15" x14ac:dyDescent="0.4">
      <c r="A3" s="46">
        <v>2</v>
      </c>
      <c r="B3" s="46" t="s">
        <v>17</v>
      </c>
      <c r="C3" s="44" t="s">
        <v>18</v>
      </c>
      <c r="D3" s="44">
        <v>3.85</v>
      </c>
      <c r="E3" s="44">
        <v>3.57</v>
      </c>
      <c r="F3" s="46">
        <v>3.3</v>
      </c>
      <c r="G3" s="46" t="s">
        <v>16</v>
      </c>
      <c r="H3" s="52">
        <v>34.99</v>
      </c>
      <c r="I3" s="46">
        <v>2.8</v>
      </c>
      <c r="J3" s="46">
        <v>2.15</v>
      </c>
      <c r="K3" s="44"/>
      <c r="L3" s="44"/>
      <c r="M3" s="56"/>
      <c r="N3" s="59">
        <f>M4/(H6-Q2)*100/36</f>
        <v>3.1737329434697839</v>
      </c>
      <c r="O3" s="47" t="s">
        <v>190</v>
      </c>
      <c r="P3" s="26"/>
      <c r="Q3" s="41"/>
      <c r="R3" s="26"/>
      <c r="S3" s="27"/>
    </row>
    <row r="4" spans="1:19" s="1" customFormat="1" ht="15" x14ac:dyDescent="0.4">
      <c r="A4" s="46"/>
      <c r="B4" s="46"/>
      <c r="C4" s="44"/>
      <c r="D4" s="51"/>
      <c r="E4" s="44"/>
      <c r="F4" s="46"/>
      <c r="G4" s="46"/>
      <c r="H4" s="52"/>
      <c r="I4" s="46"/>
      <c r="J4" s="46"/>
      <c r="K4" s="44">
        <v>41.95</v>
      </c>
      <c r="L4" s="44">
        <f>K4-M4</f>
        <v>36.74</v>
      </c>
      <c r="M4" s="56">
        <v>5.21</v>
      </c>
      <c r="N4" s="60"/>
      <c r="O4" s="50"/>
      <c r="P4" s="26"/>
      <c r="Q4" s="41"/>
      <c r="R4" s="26"/>
      <c r="S4" s="27"/>
    </row>
    <row r="5" spans="1:19" s="1" customFormat="1" ht="20" hidden="1" customHeight="1" x14ac:dyDescent="0.4">
      <c r="A5" s="15">
        <v>4</v>
      </c>
      <c r="B5" s="15" t="s">
        <v>19</v>
      </c>
      <c r="C5" s="17" t="s">
        <v>18</v>
      </c>
      <c r="D5" s="17">
        <v>3.85</v>
      </c>
      <c r="E5" s="17">
        <v>3.57</v>
      </c>
      <c r="F5" s="15" t="s">
        <v>16</v>
      </c>
      <c r="G5" s="15">
        <v>3.24</v>
      </c>
      <c r="H5" s="36"/>
      <c r="I5" s="15"/>
      <c r="J5" s="15" t="s">
        <v>16</v>
      </c>
      <c r="K5" s="44"/>
      <c r="L5" s="44"/>
      <c r="M5" s="56"/>
      <c r="N5" s="17"/>
      <c r="O5" s="13"/>
      <c r="P5" s="26"/>
      <c r="Q5" s="41"/>
      <c r="R5" s="26"/>
      <c r="S5" s="27"/>
    </row>
    <row r="6" spans="1:19" s="1" customFormat="1" ht="15" x14ac:dyDescent="0.4">
      <c r="A6" s="46">
        <v>3</v>
      </c>
      <c r="B6" s="47" t="s">
        <v>192</v>
      </c>
      <c r="C6" s="44" t="s">
        <v>21</v>
      </c>
      <c r="D6" s="44">
        <v>3.27</v>
      </c>
      <c r="E6" s="44">
        <v>2.8</v>
      </c>
      <c r="F6" s="46">
        <v>2.9</v>
      </c>
      <c r="G6" s="46" t="s">
        <v>16</v>
      </c>
      <c r="H6" s="52">
        <v>35.06</v>
      </c>
      <c r="I6" s="46">
        <v>1.9</v>
      </c>
      <c r="J6" s="46">
        <v>2.34</v>
      </c>
      <c r="K6" s="44"/>
      <c r="L6" s="44"/>
      <c r="M6" s="56"/>
      <c r="N6" s="59">
        <f>M7/(H12-Q12)*100/36</f>
        <v>1.3764880952380953</v>
      </c>
      <c r="O6" s="47" t="s">
        <v>189</v>
      </c>
      <c r="P6" s="26"/>
      <c r="Q6" s="41"/>
      <c r="R6" s="26"/>
      <c r="S6" s="27"/>
    </row>
    <row r="7" spans="1:19" s="1" customFormat="1" ht="15" x14ac:dyDescent="0.4">
      <c r="A7" s="46"/>
      <c r="B7" s="46"/>
      <c r="C7" s="44"/>
      <c r="D7" s="44"/>
      <c r="E7" s="44"/>
      <c r="F7" s="46"/>
      <c r="G7" s="46"/>
      <c r="H7" s="52"/>
      <c r="I7" s="46"/>
      <c r="J7" s="46"/>
      <c r="K7" s="44">
        <v>79.010000000000005</v>
      </c>
      <c r="L7" s="44">
        <f>K7-M7</f>
        <v>76.790000000000006</v>
      </c>
      <c r="M7" s="56">
        <v>2.2200000000000002</v>
      </c>
      <c r="N7" s="60"/>
      <c r="O7" s="50"/>
      <c r="P7" s="26"/>
      <c r="Q7" s="42"/>
      <c r="R7" s="26"/>
      <c r="S7" s="27"/>
    </row>
    <row r="8" spans="1:19" s="1" customFormat="1" ht="15" x14ac:dyDescent="0.4">
      <c r="A8" s="15">
        <v>4</v>
      </c>
      <c r="B8" s="5" t="s">
        <v>22</v>
      </c>
      <c r="C8" s="17"/>
      <c r="D8" s="6" t="s">
        <v>16</v>
      </c>
      <c r="E8" s="19"/>
      <c r="F8" s="7" t="s">
        <v>16</v>
      </c>
      <c r="G8" s="15"/>
      <c r="H8" s="36">
        <v>5.21</v>
      </c>
      <c r="I8" s="15" t="s">
        <v>16</v>
      </c>
      <c r="J8" s="15" t="s">
        <v>16</v>
      </c>
      <c r="K8" s="44"/>
      <c r="L8" s="44"/>
      <c r="M8" s="56"/>
      <c r="N8" s="17"/>
      <c r="O8" s="33" t="s">
        <v>205</v>
      </c>
      <c r="P8" s="26"/>
      <c r="Q8" s="37">
        <v>25</v>
      </c>
      <c r="R8" s="13">
        <v>5.5</v>
      </c>
      <c r="S8" s="27"/>
    </row>
    <row r="9" spans="1:19" s="1" customFormat="1" ht="20" hidden="1" customHeight="1" x14ac:dyDescent="0.4">
      <c r="A9" s="15">
        <v>5</v>
      </c>
      <c r="B9" s="15" t="s">
        <v>23</v>
      </c>
      <c r="C9" s="17"/>
      <c r="D9" s="17"/>
      <c r="E9" s="19"/>
      <c r="F9" s="15" t="s">
        <v>16</v>
      </c>
      <c r="G9" s="15">
        <v>2.54</v>
      </c>
      <c r="H9" s="36"/>
      <c r="I9" s="15"/>
      <c r="J9" s="15" t="s">
        <v>16</v>
      </c>
      <c r="K9" s="44"/>
      <c r="L9" s="44"/>
      <c r="M9" s="56"/>
      <c r="N9" s="17"/>
      <c r="O9" s="13"/>
      <c r="P9" s="26"/>
      <c r="Q9" s="41"/>
      <c r="R9" s="26"/>
      <c r="S9" s="27"/>
    </row>
    <row r="10" spans="1:19" s="1" customFormat="1" ht="15" x14ac:dyDescent="0.4">
      <c r="A10" s="15">
        <v>6</v>
      </c>
      <c r="B10" s="31" t="s">
        <v>193</v>
      </c>
      <c r="C10" s="44" t="s">
        <v>25</v>
      </c>
      <c r="D10" s="44">
        <v>2.33</v>
      </c>
      <c r="E10" s="44">
        <v>1.87</v>
      </c>
      <c r="F10" s="15">
        <v>2.35</v>
      </c>
      <c r="G10" s="15" t="s">
        <v>16</v>
      </c>
      <c r="H10" s="36"/>
      <c r="I10" s="15">
        <v>1.6</v>
      </c>
      <c r="J10" s="15">
        <v>2.29</v>
      </c>
      <c r="K10" s="44"/>
      <c r="L10" s="44"/>
      <c r="M10" s="56"/>
      <c r="N10" s="17"/>
      <c r="O10" s="33" t="s">
        <v>206</v>
      </c>
      <c r="P10" s="26"/>
      <c r="Q10" s="41"/>
      <c r="R10" s="26"/>
      <c r="S10" s="27"/>
    </row>
    <row r="11" spans="1:19" s="1" customFormat="1" ht="15.6" hidden="1" customHeight="1" x14ac:dyDescent="0.4">
      <c r="A11" s="15">
        <v>7</v>
      </c>
      <c r="B11" s="15" t="s">
        <v>26</v>
      </c>
      <c r="C11" s="44"/>
      <c r="D11" s="44"/>
      <c r="E11" s="44"/>
      <c r="F11" s="15" t="s">
        <v>16</v>
      </c>
      <c r="G11" s="15">
        <v>2.0499999999999998</v>
      </c>
      <c r="H11" s="36"/>
      <c r="I11" s="15"/>
      <c r="J11" s="15" t="s">
        <v>16</v>
      </c>
      <c r="K11" s="44"/>
      <c r="L11" s="44"/>
      <c r="M11" s="56"/>
      <c r="N11" s="17"/>
      <c r="O11" s="13"/>
      <c r="P11" s="26"/>
      <c r="Q11" s="41"/>
      <c r="R11" s="26"/>
      <c r="S11" s="27"/>
    </row>
    <row r="12" spans="1:19" s="1" customFormat="1" ht="15" x14ac:dyDescent="0.4">
      <c r="A12" s="46">
        <v>7</v>
      </c>
      <c r="B12" s="48" t="s">
        <v>27</v>
      </c>
      <c r="C12" s="46" t="s">
        <v>28</v>
      </c>
      <c r="D12" s="46">
        <v>1.8</v>
      </c>
      <c r="E12" s="46">
        <v>10.51</v>
      </c>
      <c r="F12" s="46">
        <v>1.82</v>
      </c>
      <c r="G12" s="46" t="s">
        <v>16</v>
      </c>
      <c r="H12" s="52">
        <v>29.48</v>
      </c>
      <c r="I12" s="46" t="s">
        <v>16</v>
      </c>
      <c r="J12" s="46">
        <v>2.36</v>
      </c>
      <c r="K12" s="44"/>
      <c r="L12" s="44"/>
      <c r="M12" s="56"/>
      <c r="N12" s="59">
        <f>M13/(H12-H19-Q19)*100/36</f>
        <v>14.379445670836397</v>
      </c>
      <c r="O12" s="47" t="s">
        <v>188</v>
      </c>
      <c r="P12" s="26"/>
      <c r="Q12" s="41">
        <v>25</v>
      </c>
      <c r="R12" s="26"/>
      <c r="S12" s="27"/>
    </row>
    <row r="13" spans="1:19" s="1" customFormat="1" ht="15" x14ac:dyDescent="0.4">
      <c r="A13" s="46"/>
      <c r="B13" s="48"/>
      <c r="C13" s="46"/>
      <c r="D13" s="46"/>
      <c r="E13" s="46"/>
      <c r="F13" s="46"/>
      <c r="G13" s="46"/>
      <c r="H13" s="52"/>
      <c r="I13" s="46"/>
      <c r="J13" s="46"/>
      <c r="K13" s="54">
        <v>62.78</v>
      </c>
      <c r="L13" s="54">
        <f>K13-M13</f>
        <v>39.33</v>
      </c>
      <c r="M13" s="57">
        <v>23.45</v>
      </c>
      <c r="N13" s="60"/>
      <c r="O13" s="50"/>
      <c r="P13" s="26"/>
      <c r="Q13" s="41"/>
      <c r="R13" s="26"/>
      <c r="S13" s="27"/>
    </row>
    <row r="14" spans="1:19" s="1" customFormat="1" ht="15.6" hidden="1" customHeight="1" x14ac:dyDescent="0.4">
      <c r="A14" s="15">
        <v>9</v>
      </c>
      <c r="B14" s="4" t="s">
        <v>29</v>
      </c>
      <c r="C14" s="46"/>
      <c r="D14" s="46"/>
      <c r="E14" s="46"/>
      <c r="F14" s="15" t="s">
        <v>16</v>
      </c>
      <c r="G14" s="15">
        <v>9.26</v>
      </c>
      <c r="H14" s="36"/>
      <c r="I14" s="15"/>
      <c r="J14" s="15" t="s">
        <v>16</v>
      </c>
      <c r="K14" s="54"/>
      <c r="L14" s="54"/>
      <c r="M14" s="57"/>
      <c r="N14" s="18"/>
      <c r="O14" s="13"/>
      <c r="P14" s="26"/>
      <c r="Q14" s="41"/>
      <c r="R14" s="26"/>
      <c r="S14" s="27"/>
    </row>
    <row r="15" spans="1:19" s="1" customFormat="1" ht="15" x14ac:dyDescent="0.4">
      <c r="A15" s="15">
        <v>10</v>
      </c>
      <c r="B15" s="15" t="s">
        <v>30</v>
      </c>
      <c r="C15" s="46" t="s">
        <v>31</v>
      </c>
      <c r="D15" s="46">
        <v>9.9700000000000006</v>
      </c>
      <c r="E15" s="46">
        <v>9.69</v>
      </c>
      <c r="F15" s="15">
        <v>8.8800000000000008</v>
      </c>
      <c r="G15" s="15" t="s">
        <v>16</v>
      </c>
      <c r="H15" s="36"/>
      <c r="I15" s="15">
        <v>1.7</v>
      </c>
      <c r="J15" s="15">
        <v>1.73</v>
      </c>
      <c r="K15" s="54"/>
      <c r="L15" s="54"/>
      <c r="M15" s="57"/>
      <c r="N15" s="18"/>
      <c r="O15" s="33" t="s">
        <v>207</v>
      </c>
      <c r="P15" s="26"/>
      <c r="Q15" s="41"/>
      <c r="R15" s="26"/>
      <c r="S15" s="27"/>
    </row>
    <row r="16" spans="1:19" s="1" customFormat="1" ht="15.6" hidden="1" customHeight="1" x14ac:dyDescent="0.4">
      <c r="A16" s="15">
        <v>11</v>
      </c>
      <c r="B16" s="15" t="s">
        <v>32</v>
      </c>
      <c r="C16" s="46"/>
      <c r="D16" s="46"/>
      <c r="E16" s="46"/>
      <c r="F16" s="15" t="s">
        <v>16</v>
      </c>
      <c r="G16" s="15">
        <v>8.57</v>
      </c>
      <c r="H16" s="36"/>
      <c r="I16" s="15"/>
      <c r="J16" s="15" t="s">
        <v>16</v>
      </c>
      <c r="K16" s="54"/>
      <c r="L16" s="54"/>
      <c r="M16" s="57"/>
      <c r="N16" s="18"/>
      <c r="O16" s="13"/>
      <c r="P16" s="26"/>
      <c r="Q16" s="41"/>
      <c r="R16" s="26"/>
      <c r="S16" s="27"/>
    </row>
    <row r="17" spans="1:19" s="1" customFormat="1" ht="15" x14ac:dyDescent="0.4">
      <c r="A17" s="46">
        <v>12</v>
      </c>
      <c r="B17" s="46" t="s">
        <v>33</v>
      </c>
      <c r="C17" s="46" t="s">
        <v>34</v>
      </c>
      <c r="D17" s="46">
        <v>9.41</v>
      </c>
      <c r="E17" s="46">
        <v>9.36</v>
      </c>
      <c r="F17" s="46">
        <v>8.33</v>
      </c>
      <c r="G17" s="46" t="s">
        <v>16</v>
      </c>
      <c r="H17" s="52"/>
      <c r="I17" s="46">
        <v>1.5</v>
      </c>
      <c r="J17" s="46">
        <v>1.74</v>
      </c>
      <c r="K17" s="54"/>
      <c r="L17" s="54"/>
      <c r="M17" s="57"/>
      <c r="N17" s="63">
        <f>M18/(H12-H19-Q19)*100/36</f>
        <v>16.464311994113316</v>
      </c>
      <c r="O17" s="47" t="s">
        <v>187</v>
      </c>
      <c r="P17" s="26"/>
      <c r="Q17" s="41"/>
      <c r="R17" s="26"/>
      <c r="S17" s="27"/>
    </row>
    <row r="18" spans="1:19" s="1" customFormat="1" ht="15" x14ac:dyDescent="0.4">
      <c r="A18" s="46"/>
      <c r="B18" s="46"/>
      <c r="C18" s="46"/>
      <c r="D18" s="46"/>
      <c r="E18" s="49"/>
      <c r="F18" s="46"/>
      <c r="G18" s="46"/>
      <c r="H18" s="52"/>
      <c r="I18" s="46"/>
      <c r="J18" s="46"/>
      <c r="K18" s="54">
        <v>87.26</v>
      </c>
      <c r="L18" s="54">
        <f>K18-M18</f>
        <v>60.410000000000004</v>
      </c>
      <c r="M18" s="57">
        <v>26.85</v>
      </c>
      <c r="N18" s="64"/>
      <c r="O18" s="50"/>
      <c r="P18" s="26"/>
      <c r="Q18" s="41"/>
      <c r="R18" s="26"/>
      <c r="S18" s="27"/>
    </row>
    <row r="19" spans="1:19" s="1" customFormat="1" ht="15" x14ac:dyDescent="0.4">
      <c r="A19" s="15">
        <v>13</v>
      </c>
      <c r="B19" s="8" t="s">
        <v>35</v>
      </c>
      <c r="C19" s="15"/>
      <c r="D19" s="15"/>
      <c r="E19" s="9"/>
      <c r="F19" s="15"/>
      <c r="G19" s="15"/>
      <c r="H19" s="36">
        <v>0.25</v>
      </c>
      <c r="I19" s="15" t="s">
        <v>16</v>
      </c>
      <c r="J19" s="15" t="s">
        <v>16</v>
      </c>
      <c r="K19" s="54"/>
      <c r="L19" s="54"/>
      <c r="M19" s="57"/>
      <c r="N19" s="18"/>
      <c r="O19" s="33" t="s">
        <v>205</v>
      </c>
      <c r="P19" s="26"/>
      <c r="Q19" s="41">
        <v>24.7</v>
      </c>
      <c r="R19" s="26">
        <v>0.3</v>
      </c>
      <c r="S19" s="27"/>
    </row>
    <row r="20" spans="1:19" s="1" customFormat="1" ht="15.6" hidden="1" customHeight="1" x14ac:dyDescent="0.4">
      <c r="A20" s="15">
        <v>14</v>
      </c>
      <c r="B20" s="10" t="s">
        <v>36</v>
      </c>
      <c r="C20" s="15"/>
      <c r="D20" s="15"/>
      <c r="E20" s="9"/>
      <c r="F20" s="15" t="s">
        <v>16</v>
      </c>
      <c r="G20" s="15"/>
      <c r="H20" s="36"/>
      <c r="I20" s="15"/>
      <c r="J20" s="15" t="s">
        <v>16</v>
      </c>
      <c r="K20" s="54"/>
      <c r="L20" s="54"/>
      <c r="M20" s="57"/>
      <c r="N20" s="18"/>
      <c r="O20" s="13"/>
      <c r="P20" s="26"/>
      <c r="Q20" s="41"/>
      <c r="R20" s="26"/>
      <c r="S20" s="27"/>
    </row>
    <row r="21" spans="1:19" s="1" customFormat="1" ht="15.6" hidden="1" customHeight="1" x14ac:dyDescent="0.4">
      <c r="A21" s="15">
        <v>15</v>
      </c>
      <c r="B21" s="10" t="s">
        <v>37</v>
      </c>
      <c r="C21" s="46" t="s">
        <v>38</v>
      </c>
      <c r="D21" s="46">
        <v>9.2899999999999991</v>
      </c>
      <c r="E21" s="46">
        <v>8.6199999999999992</v>
      </c>
      <c r="F21" s="15">
        <v>8.31</v>
      </c>
      <c r="G21" s="15" t="s">
        <v>16</v>
      </c>
      <c r="H21" s="36"/>
      <c r="I21" s="15"/>
      <c r="J21" s="15">
        <v>1.84</v>
      </c>
      <c r="K21" s="54"/>
      <c r="L21" s="54"/>
      <c r="M21" s="57"/>
      <c r="N21" s="18"/>
      <c r="O21" s="13"/>
      <c r="P21" s="26"/>
      <c r="Q21" s="41"/>
      <c r="R21" s="26"/>
      <c r="S21" s="27"/>
    </row>
    <row r="22" spans="1:19" s="1" customFormat="1" ht="15.6" hidden="1" customHeight="1" x14ac:dyDescent="0.4">
      <c r="A22" s="15">
        <v>16</v>
      </c>
      <c r="B22" s="10" t="s">
        <v>39</v>
      </c>
      <c r="C22" s="46"/>
      <c r="D22" s="46"/>
      <c r="E22" s="46"/>
      <c r="F22" s="15" t="s">
        <v>16</v>
      </c>
      <c r="G22" s="15">
        <v>7.62</v>
      </c>
      <c r="H22" s="36"/>
      <c r="I22" s="15"/>
      <c r="J22" s="15" t="s">
        <v>16</v>
      </c>
      <c r="K22" s="54"/>
      <c r="L22" s="54"/>
      <c r="M22" s="57"/>
      <c r="N22" s="18"/>
      <c r="O22" s="13"/>
      <c r="P22" s="26"/>
      <c r="Q22" s="41"/>
      <c r="R22" s="26"/>
      <c r="S22" s="27"/>
    </row>
    <row r="23" spans="1:19" s="1" customFormat="1" ht="15" x14ac:dyDescent="0.4">
      <c r="A23" s="15">
        <v>17</v>
      </c>
      <c r="B23" s="10" t="s">
        <v>40</v>
      </c>
      <c r="C23" s="46" t="s">
        <v>41</v>
      </c>
      <c r="D23" s="46">
        <v>8.23</v>
      </c>
      <c r="E23" s="46">
        <v>8.1</v>
      </c>
      <c r="F23" s="15">
        <v>7.54</v>
      </c>
      <c r="G23" s="15" t="s">
        <v>16</v>
      </c>
      <c r="H23" s="36"/>
      <c r="I23" s="15">
        <v>1.7</v>
      </c>
      <c r="J23" s="15">
        <v>1.98</v>
      </c>
      <c r="K23" s="54"/>
      <c r="L23" s="54"/>
      <c r="M23" s="57"/>
      <c r="N23" s="18"/>
      <c r="O23" s="33" t="s">
        <v>208</v>
      </c>
      <c r="P23" s="26"/>
      <c r="Q23" s="41"/>
      <c r="R23" s="26"/>
      <c r="S23" s="27"/>
    </row>
    <row r="24" spans="1:19" s="1" customFormat="1" ht="15.6" hidden="1" customHeight="1" x14ac:dyDescent="0.4">
      <c r="A24" s="15">
        <v>18</v>
      </c>
      <c r="B24" s="10" t="s">
        <v>42</v>
      </c>
      <c r="C24" s="46"/>
      <c r="D24" s="46"/>
      <c r="E24" s="46"/>
      <c r="F24" s="15" t="s">
        <v>16</v>
      </c>
      <c r="G24" s="15">
        <v>7.16</v>
      </c>
      <c r="H24" s="36"/>
      <c r="I24" s="15"/>
      <c r="J24" s="15" t="s">
        <v>16</v>
      </c>
      <c r="K24" s="54"/>
      <c r="L24" s="54"/>
      <c r="M24" s="57"/>
      <c r="N24" s="18"/>
      <c r="O24" s="13"/>
      <c r="P24" s="26"/>
      <c r="Q24" s="41"/>
      <c r="R24" s="26"/>
      <c r="S24" s="27"/>
    </row>
    <row r="25" spans="1:19" s="1" customFormat="1" ht="15" x14ac:dyDescent="0.4">
      <c r="A25" s="46">
        <v>19</v>
      </c>
      <c r="B25" s="46" t="s">
        <v>43</v>
      </c>
      <c r="C25" s="46" t="s">
        <v>44</v>
      </c>
      <c r="D25" s="46">
        <v>7.54</v>
      </c>
      <c r="E25" s="46">
        <v>7.12</v>
      </c>
      <c r="F25" s="46">
        <v>6.77</v>
      </c>
      <c r="G25" s="46" t="s">
        <v>16</v>
      </c>
      <c r="H25" s="52"/>
      <c r="I25" s="46">
        <v>1.7</v>
      </c>
      <c r="J25" s="46">
        <v>2.02</v>
      </c>
      <c r="K25" s="54"/>
      <c r="L25" s="54"/>
      <c r="M25" s="57"/>
      <c r="N25" s="63">
        <f>M26/(H51-Q51)*100/36</f>
        <v>7.8971533516988064</v>
      </c>
      <c r="O25" s="47" t="s">
        <v>186</v>
      </c>
      <c r="P25" s="26"/>
      <c r="Q25" s="41"/>
      <c r="R25" s="26"/>
      <c r="S25" s="27"/>
    </row>
    <row r="26" spans="1:19" s="1" customFormat="1" ht="15" x14ac:dyDescent="0.4">
      <c r="A26" s="46"/>
      <c r="B26" s="46"/>
      <c r="C26" s="46"/>
      <c r="D26" s="46"/>
      <c r="E26" s="46"/>
      <c r="F26" s="46"/>
      <c r="G26" s="46"/>
      <c r="H26" s="52"/>
      <c r="I26" s="46"/>
      <c r="J26" s="46"/>
      <c r="K26" s="54">
        <v>49.18</v>
      </c>
      <c r="L26" s="54">
        <f>K26-M26</f>
        <v>35.42</v>
      </c>
      <c r="M26" s="57">
        <v>13.76</v>
      </c>
      <c r="N26" s="64"/>
      <c r="O26" s="50"/>
      <c r="P26" s="26"/>
      <c r="Q26" s="41"/>
      <c r="R26" s="26"/>
      <c r="S26" s="27"/>
    </row>
    <row r="27" spans="1:19" s="1" customFormat="1" ht="18" hidden="1" customHeight="1" x14ac:dyDescent="0.4">
      <c r="A27" s="15">
        <v>20</v>
      </c>
      <c r="B27" s="10" t="s">
        <v>45</v>
      </c>
      <c r="C27" s="46"/>
      <c r="D27" s="46"/>
      <c r="E27" s="46"/>
      <c r="F27" s="15" t="s">
        <v>16</v>
      </c>
      <c r="G27" s="15">
        <v>6.36</v>
      </c>
      <c r="H27" s="36"/>
      <c r="I27" s="15"/>
      <c r="J27" s="15" t="s">
        <v>16</v>
      </c>
      <c r="K27" s="54"/>
      <c r="L27" s="54"/>
      <c r="M27" s="57"/>
      <c r="N27" s="18"/>
      <c r="O27" s="13"/>
      <c r="P27" s="26"/>
      <c r="Q27" s="41"/>
      <c r="R27" s="26"/>
      <c r="S27" s="27"/>
    </row>
    <row r="28" spans="1:19" s="1" customFormat="1" ht="15" x14ac:dyDescent="0.4">
      <c r="A28" s="15">
        <v>21</v>
      </c>
      <c r="B28" s="8" t="s">
        <v>46</v>
      </c>
      <c r="C28" s="15"/>
      <c r="D28" s="15"/>
      <c r="E28" s="15"/>
      <c r="F28" s="15"/>
      <c r="G28" s="15"/>
      <c r="H28" s="36">
        <v>0.24</v>
      </c>
      <c r="I28" s="15" t="s">
        <v>16</v>
      </c>
      <c r="J28" s="15" t="s">
        <v>16</v>
      </c>
      <c r="K28" s="54"/>
      <c r="L28" s="54"/>
      <c r="M28" s="57"/>
      <c r="N28" s="18"/>
      <c r="O28" s="33" t="s">
        <v>205</v>
      </c>
      <c r="P28" s="26"/>
      <c r="Q28" s="41">
        <v>24.25</v>
      </c>
      <c r="R28" s="26">
        <v>0.45</v>
      </c>
      <c r="S28" s="27"/>
    </row>
    <row r="29" spans="1:19" s="1" customFormat="1" ht="15" x14ac:dyDescent="0.4">
      <c r="A29" s="15">
        <v>22</v>
      </c>
      <c r="B29" s="8" t="s">
        <v>47</v>
      </c>
      <c r="C29" s="15"/>
      <c r="D29" s="15"/>
      <c r="E29" s="15"/>
      <c r="F29" s="15"/>
      <c r="G29" s="15"/>
      <c r="H29" s="36">
        <v>0.1</v>
      </c>
      <c r="I29" s="15" t="s">
        <v>16</v>
      </c>
      <c r="J29" s="15" t="s">
        <v>16</v>
      </c>
      <c r="K29" s="54"/>
      <c r="L29" s="54"/>
      <c r="M29" s="57"/>
      <c r="N29" s="18"/>
      <c r="O29" s="33" t="s">
        <v>205</v>
      </c>
      <c r="P29" s="26"/>
      <c r="Q29" s="41">
        <v>24.05</v>
      </c>
      <c r="R29" s="26">
        <v>0.2</v>
      </c>
      <c r="S29" s="27"/>
    </row>
    <row r="30" spans="1:19" s="1" customFormat="1" ht="15" x14ac:dyDescent="0.4">
      <c r="A30" s="15">
        <v>23</v>
      </c>
      <c r="B30" s="10" t="s">
        <v>48</v>
      </c>
      <c r="C30" s="46" t="s">
        <v>49</v>
      </c>
      <c r="D30" s="46">
        <v>6.91</v>
      </c>
      <c r="E30" s="46">
        <v>6.28</v>
      </c>
      <c r="F30" s="15">
        <v>6.11</v>
      </c>
      <c r="G30" s="15" t="s">
        <v>16</v>
      </c>
      <c r="H30" s="36"/>
      <c r="I30" s="15">
        <v>1.7</v>
      </c>
      <c r="J30" s="15">
        <v>2</v>
      </c>
      <c r="K30" s="54"/>
      <c r="L30" s="54"/>
      <c r="M30" s="57"/>
      <c r="N30" s="18"/>
      <c r="O30" s="33" t="s">
        <v>209</v>
      </c>
      <c r="P30" s="26"/>
      <c r="Q30" s="41"/>
      <c r="R30" s="26"/>
      <c r="S30" s="27"/>
    </row>
    <row r="31" spans="1:19" s="1" customFormat="1" ht="15.6" hidden="1" customHeight="1" x14ac:dyDescent="0.4">
      <c r="A31" s="15">
        <v>24</v>
      </c>
      <c r="B31" s="10" t="s">
        <v>50</v>
      </c>
      <c r="C31" s="46"/>
      <c r="D31" s="46"/>
      <c r="E31" s="46"/>
      <c r="F31" s="15" t="s">
        <v>16</v>
      </c>
      <c r="G31" s="15">
        <v>5.57</v>
      </c>
      <c r="H31" s="36"/>
      <c r="I31" s="15"/>
      <c r="J31" s="15" t="s">
        <v>16</v>
      </c>
      <c r="K31" s="54"/>
      <c r="L31" s="54"/>
      <c r="M31" s="57"/>
      <c r="N31" s="18"/>
      <c r="O31" s="13"/>
      <c r="P31" s="26"/>
      <c r="Q31" s="41"/>
      <c r="R31" s="26"/>
      <c r="S31" s="27"/>
    </row>
    <row r="32" spans="1:19" s="1" customFormat="1" ht="15" x14ac:dyDescent="0.4">
      <c r="A32" s="46">
        <v>25</v>
      </c>
      <c r="B32" s="46" t="s">
        <v>51</v>
      </c>
      <c r="C32" s="46" t="s">
        <v>52</v>
      </c>
      <c r="D32" s="46">
        <v>6.03</v>
      </c>
      <c r="E32" s="46">
        <v>5.76</v>
      </c>
      <c r="F32" s="46">
        <v>5.22</v>
      </c>
      <c r="G32" s="46" t="s">
        <v>16</v>
      </c>
      <c r="H32" s="52"/>
      <c r="I32" s="46">
        <v>1.8</v>
      </c>
      <c r="J32" s="46">
        <v>2.48</v>
      </c>
      <c r="K32" s="54"/>
      <c r="L32" s="54"/>
      <c r="M32" s="57"/>
      <c r="N32" s="63">
        <f>M33/(H51-Q51)*100/36</f>
        <v>3.8223140495867765</v>
      </c>
      <c r="O32" s="47" t="s">
        <v>185</v>
      </c>
      <c r="P32" s="26"/>
      <c r="Q32" s="41"/>
      <c r="R32" s="26"/>
      <c r="S32" s="27"/>
    </row>
    <row r="33" spans="1:19" s="1" customFormat="1" ht="15" x14ac:dyDescent="0.4">
      <c r="A33" s="46"/>
      <c r="B33" s="46"/>
      <c r="C33" s="46"/>
      <c r="D33" s="46"/>
      <c r="E33" s="46"/>
      <c r="F33" s="46"/>
      <c r="G33" s="46"/>
      <c r="H33" s="52"/>
      <c r="I33" s="46"/>
      <c r="J33" s="46"/>
      <c r="K33" s="54">
        <v>27.56</v>
      </c>
      <c r="L33" s="54">
        <f>K33-M33</f>
        <v>20.9</v>
      </c>
      <c r="M33" s="57">
        <v>6.66</v>
      </c>
      <c r="N33" s="64"/>
      <c r="O33" s="50"/>
      <c r="P33" s="26"/>
      <c r="Q33" s="41"/>
      <c r="R33" s="26"/>
      <c r="S33" s="27"/>
    </row>
    <row r="34" spans="1:19" s="1" customFormat="1" ht="15.6" hidden="1" customHeight="1" x14ac:dyDescent="0.4">
      <c r="A34" s="15">
        <v>26</v>
      </c>
      <c r="B34" s="10" t="s">
        <v>53</v>
      </c>
      <c r="C34" s="46"/>
      <c r="D34" s="46"/>
      <c r="E34" s="46"/>
      <c r="F34" s="15" t="s">
        <v>16</v>
      </c>
      <c r="G34" s="15">
        <v>4.9000000000000004</v>
      </c>
      <c r="H34" s="36"/>
      <c r="I34" s="15"/>
      <c r="J34" s="15" t="s">
        <v>16</v>
      </c>
      <c r="K34" s="54"/>
      <c r="L34" s="54"/>
      <c r="M34" s="57"/>
      <c r="N34" s="18"/>
      <c r="O34" s="13"/>
      <c r="P34" s="26"/>
      <c r="Q34" s="41"/>
      <c r="R34" s="26"/>
      <c r="S34" s="27"/>
    </row>
    <row r="35" spans="1:19" s="1" customFormat="1" ht="15.6" customHeight="1" x14ac:dyDescent="0.4">
      <c r="A35" s="46">
        <v>27</v>
      </c>
      <c r="B35" s="46" t="s">
        <v>54</v>
      </c>
      <c r="C35" s="46" t="s">
        <v>55</v>
      </c>
      <c r="D35" s="46">
        <v>5.08</v>
      </c>
      <c r="E35" s="46">
        <v>4.63</v>
      </c>
      <c r="F35" s="46">
        <v>4.54</v>
      </c>
      <c r="G35" s="46" t="s">
        <v>16</v>
      </c>
      <c r="H35" s="52"/>
      <c r="I35" s="46">
        <v>1.8</v>
      </c>
      <c r="J35" s="46">
        <v>2.77</v>
      </c>
      <c r="K35" s="54"/>
      <c r="L35" s="54"/>
      <c r="M35" s="57"/>
      <c r="N35" s="63">
        <f>M36/(H51-Q51)*100/36</f>
        <v>4.2183195592286502</v>
      </c>
      <c r="O35" s="47" t="s">
        <v>184</v>
      </c>
      <c r="P35" s="26"/>
      <c r="Q35" s="41"/>
      <c r="R35" s="26"/>
      <c r="S35" s="27"/>
    </row>
    <row r="36" spans="1:19" s="1" customFormat="1" ht="15" x14ac:dyDescent="0.4">
      <c r="A36" s="46"/>
      <c r="B36" s="46"/>
      <c r="C36" s="46"/>
      <c r="D36" s="46"/>
      <c r="E36" s="46"/>
      <c r="F36" s="46"/>
      <c r="G36" s="46"/>
      <c r="H36" s="52"/>
      <c r="I36" s="46"/>
      <c r="J36" s="46"/>
      <c r="K36" s="54">
        <v>72.66</v>
      </c>
      <c r="L36" s="54">
        <f>K36-M36</f>
        <v>65.31</v>
      </c>
      <c r="M36" s="57">
        <v>7.35</v>
      </c>
      <c r="N36" s="64"/>
      <c r="O36" s="50"/>
      <c r="P36" s="26"/>
      <c r="Q36" s="41"/>
      <c r="R36" s="26"/>
      <c r="S36" s="27"/>
    </row>
    <row r="37" spans="1:19" s="1" customFormat="1" ht="15.6" hidden="1" customHeight="1" x14ac:dyDescent="0.4">
      <c r="A37" s="15">
        <v>28</v>
      </c>
      <c r="B37" s="10" t="s">
        <v>56</v>
      </c>
      <c r="C37" s="46"/>
      <c r="D37" s="46"/>
      <c r="E37" s="46"/>
      <c r="F37" s="15" t="s">
        <v>16</v>
      </c>
      <c r="G37" s="15">
        <v>4.16</v>
      </c>
      <c r="H37" s="36"/>
      <c r="I37" s="15"/>
      <c r="J37" s="15" t="s">
        <v>16</v>
      </c>
      <c r="K37" s="54"/>
      <c r="L37" s="54"/>
      <c r="M37" s="57"/>
      <c r="N37" s="18"/>
      <c r="O37" s="13"/>
      <c r="P37" s="26"/>
      <c r="Q37" s="41"/>
      <c r="R37" s="26"/>
      <c r="S37" s="27"/>
    </row>
    <row r="38" spans="1:19" s="1" customFormat="1" ht="15" x14ac:dyDescent="0.4">
      <c r="A38" s="15">
        <v>29</v>
      </c>
      <c r="B38" s="10" t="s">
        <v>57</v>
      </c>
      <c r="C38" s="46" t="s">
        <v>58</v>
      </c>
      <c r="D38" s="46">
        <v>4.54</v>
      </c>
      <c r="E38" s="46">
        <v>4.28</v>
      </c>
      <c r="F38" s="15">
        <v>4.08</v>
      </c>
      <c r="G38" s="15" t="s">
        <v>16</v>
      </c>
      <c r="H38" s="36"/>
      <c r="I38" s="15">
        <v>2.66</v>
      </c>
      <c r="J38" s="15">
        <v>2.37</v>
      </c>
      <c r="K38" s="54"/>
      <c r="L38" s="54"/>
      <c r="M38" s="57"/>
      <c r="N38" s="18"/>
      <c r="O38" s="33" t="s">
        <v>210</v>
      </c>
      <c r="P38" s="26"/>
      <c r="Q38" s="41"/>
      <c r="R38" s="26"/>
      <c r="S38" s="27"/>
    </row>
    <row r="39" spans="1:19" s="1" customFormat="1" ht="24" hidden="1" customHeight="1" x14ac:dyDescent="0.4">
      <c r="A39" s="15">
        <v>30</v>
      </c>
      <c r="B39" s="10" t="s">
        <v>59</v>
      </c>
      <c r="C39" s="46"/>
      <c r="D39" s="46"/>
      <c r="E39" s="46"/>
      <c r="F39" s="15" t="s">
        <v>16</v>
      </c>
      <c r="G39" s="15">
        <v>3.98</v>
      </c>
      <c r="H39" s="36"/>
      <c r="I39" s="15"/>
      <c r="J39" s="15" t="s">
        <v>16</v>
      </c>
      <c r="K39" s="54"/>
      <c r="L39" s="54"/>
      <c r="M39" s="57"/>
      <c r="N39" s="18"/>
      <c r="O39" s="13"/>
      <c r="P39" s="26"/>
      <c r="Q39" s="41"/>
      <c r="R39" s="26"/>
      <c r="S39" s="27"/>
    </row>
    <row r="40" spans="1:19" s="1" customFormat="1" ht="15" x14ac:dyDescent="0.4">
      <c r="A40" s="46">
        <v>31</v>
      </c>
      <c r="B40" s="46" t="s">
        <v>60</v>
      </c>
      <c r="C40" s="46" t="s">
        <v>61</v>
      </c>
      <c r="D40" s="46">
        <v>3.85</v>
      </c>
      <c r="E40" s="46">
        <v>3.47</v>
      </c>
      <c r="F40" s="46">
        <v>3.75</v>
      </c>
      <c r="G40" s="46" t="s">
        <v>16</v>
      </c>
      <c r="H40" s="52"/>
      <c r="I40" s="46">
        <v>1.8</v>
      </c>
      <c r="J40" s="46">
        <v>2.71</v>
      </c>
      <c r="K40" s="54"/>
      <c r="L40" s="54"/>
      <c r="M40" s="57"/>
      <c r="N40" s="63">
        <f>M41/(H51-Q51)*100/36</f>
        <v>0.39026629935720847</v>
      </c>
      <c r="O40" s="47" t="s">
        <v>183</v>
      </c>
      <c r="P40" s="26"/>
      <c r="Q40" s="41"/>
      <c r="R40" s="26"/>
      <c r="S40" s="27"/>
    </row>
    <row r="41" spans="1:19" s="1" customFormat="1" ht="15.6" customHeight="1" x14ac:dyDescent="0.4">
      <c r="A41" s="46"/>
      <c r="B41" s="46"/>
      <c r="C41" s="46"/>
      <c r="D41" s="46"/>
      <c r="E41" s="46"/>
      <c r="F41" s="46"/>
      <c r="G41" s="46"/>
      <c r="H41" s="52"/>
      <c r="I41" s="46"/>
      <c r="J41" s="46"/>
      <c r="K41" s="54">
        <v>37.909999999999997</v>
      </c>
      <c r="L41" s="54">
        <f>K41-M41</f>
        <v>37.229999999999997</v>
      </c>
      <c r="M41" s="57">
        <v>0.68</v>
      </c>
      <c r="N41" s="64"/>
      <c r="O41" s="50"/>
      <c r="P41" s="26"/>
      <c r="Q41" s="41"/>
      <c r="R41" s="26"/>
      <c r="S41" s="27"/>
    </row>
    <row r="42" spans="1:19" s="1" customFormat="1" ht="15.6" hidden="1" customHeight="1" x14ac:dyDescent="0.4">
      <c r="A42" s="15">
        <v>32</v>
      </c>
      <c r="B42" s="10" t="s">
        <v>62</v>
      </c>
      <c r="C42" s="15" t="s">
        <v>61</v>
      </c>
      <c r="D42" s="15">
        <v>3.85</v>
      </c>
      <c r="E42" s="15">
        <v>3.47</v>
      </c>
      <c r="F42" s="15" t="s">
        <v>16</v>
      </c>
      <c r="G42" s="15">
        <v>3.36</v>
      </c>
      <c r="H42" s="36"/>
      <c r="I42" s="15"/>
      <c r="J42" s="15" t="s">
        <v>16</v>
      </c>
      <c r="K42" s="54"/>
      <c r="L42" s="54"/>
      <c r="M42" s="57"/>
      <c r="N42" s="18"/>
      <c r="O42" s="13"/>
      <c r="P42" s="26"/>
      <c r="Q42" s="41"/>
      <c r="R42" s="26"/>
      <c r="S42" s="27"/>
    </row>
    <row r="43" spans="1:19" s="1" customFormat="1" ht="15.6" hidden="1" customHeight="1" x14ac:dyDescent="0.4">
      <c r="A43" s="15">
        <v>33</v>
      </c>
      <c r="B43" s="10" t="s">
        <v>63</v>
      </c>
      <c r="C43" s="46" t="s">
        <v>64</v>
      </c>
      <c r="D43" s="46">
        <v>3.37</v>
      </c>
      <c r="E43" s="46">
        <v>3.11</v>
      </c>
      <c r="F43" s="15">
        <v>3.29</v>
      </c>
      <c r="G43" s="15" t="s">
        <v>16</v>
      </c>
      <c r="H43" s="36"/>
      <c r="I43" s="15"/>
      <c r="J43" s="15">
        <v>2.78</v>
      </c>
      <c r="K43" s="54"/>
      <c r="L43" s="54"/>
      <c r="M43" s="57"/>
      <c r="N43" s="18"/>
      <c r="O43" s="13"/>
      <c r="P43" s="26"/>
      <c r="Q43" s="41"/>
      <c r="R43" s="26"/>
      <c r="S43" s="27"/>
    </row>
    <row r="44" spans="1:19" s="1" customFormat="1" ht="15.6" hidden="1" customHeight="1" x14ac:dyDescent="0.4">
      <c r="A44" s="15">
        <v>34</v>
      </c>
      <c r="B44" s="10" t="s">
        <v>65</v>
      </c>
      <c r="C44" s="46"/>
      <c r="D44" s="46"/>
      <c r="E44" s="46"/>
      <c r="F44" s="15" t="s">
        <v>16</v>
      </c>
      <c r="G44" s="15">
        <v>3.13</v>
      </c>
      <c r="H44" s="36"/>
      <c r="I44" s="15"/>
      <c r="J44" s="15" t="s">
        <v>16</v>
      </c>
      <c r="K44" s="54"/>
      <c r="L44" s="54"/>
      <c r="M44" s="57"/>
      <c r="N44" s="18"/>
      <c r="O44" s="13"/>
      <c r="P44" s="26"/>
      <c r="Q44" s="41"/>
      <c r="R44" s="26"/>
      <c r="S44" s="27"/>
    </row>
    <row r="45" spans="1:19" s="1" customFormat="1" ht="15" x14ac:dyDescent="0.4">
      <c r="A45" s="46">
        <v>35</v>
      </c>
      <c r="B45" s="46" t="s">
        <v>66</v>
      </c>
      <c r="C45" s="46" t="s">
        <v>67</v>
      </c>
      <c r="D45" s="46">
        <v>2.86</v>
      </c>
      <c r="E45" s="46">
        <v>2.64</v>
      </c>
      <c r="F45" s="46">
        <v>2.91</v>
      </c>
      <c r="G45" s="46" t="s">
        <v>16</v>
      </c>
      <c r="H45" s="52"/>
      <c r="I45" s="46">
        <v>2.7</v>
      </c>
      <c r="J45" s="46">
        <v>2.91</v>
      </c>
      <c r="K45" s="54"/>
      <c r="L45" s="54"/>
      <c r="M45" s="57"/>
      <c r="N45" s="63">
        <f>M46/(H51-Q51)*100/36</f>
        <v>-0.68870523415977969</v>
      </c>
      <c r="O45" s="47" t="s">
        <v>182</v>
      </c>
      <c r="P45" s="26"/>
      <c r="Q45" s="41"/>
      <c r="R45" s="26"/>
      <c r="S45" s="27"/>
    </row>
    <row r="46" spans="1:19" s="1" customFormat="1" ht="15" x14ac:dyDescent="0.4">
      <c r="A46" s="46"/>
      <c r="B46" s="46"/>
      <c r="C46" s="46"/>
      <c r="D46" s="46"/>
      <c r="E46" s="46"/>
      <c r="F46" s="46"/>
      <c r="G46" s="46"/>
      <c r="H46" s="52"/>
      <c r="I46" s="46"/>
      <c r="J46" s="46"/>
      <c r="K46" s="54">
        <v>30.24</v>
      </c>
      <c r="L46" s="54">
        <f>K46-M46</f>
        <v>31.439999999999998</v>
      </c>
      <c r="M46" s="57">
        <v>-1.2</v>
      </c>
      <c r="N46" s="64"/>
      <c r="O46" s="50"/>
      <c r="P46" s="26"/>
      <c r="Q46" s="41"/>
      <c r="R46" s="26"/>
      <c r="S46" s="27"/>
    </row>
    <row r="47" spans="1:19" s="1" customFormat="1" ht="15.6" hidden="1" customHeight="1" x14ac:dyDescent="0.4">
      <c r="A47" s="15">
        <v>36</v>
      </c>
      <c r="B47" s="10" t="s">
        <v>68</v>
      </c>
      <c r="C47" s="46"/>
      <c r="D47" s="46"/>
      <c r="E47" s="46"/>
      <c r="F47" s="15" t="s">
        <v>16</v>
      </c>
      <c r="G47" s="15">
        <v>2.79</v>
      </c>
      <c r="H47" s="36"/>
      <c r="I47" s="15"/>
      <c r="J47" s="15" t="s">
        <v>16</v>
      </c>
      <c r="K47" s="54"/>
      <c r="L47" s="54"/>
      <c r="M47" s="57"/>
      <c r="N47" s="18"/>
      <c r="O47" s="13"/>
      <c r="P47" s="26"/>
      <c r="Q47" s="41"/>
      <c r="R47" s="26"/>
      <c r="S47" s="27"/>
    </row>
    <row r="48" spans="1:19" s="1" customFormat="1" ht="15.6" customHeight="1" x14ac:dyDescent="0.4">
      <c r="A48" s="46">
        <v>37</v>
      </c>
      <c r="B48" s="46" t="s">
        <v>69</v>
      </c>
      <c r="C48" s="46" t="s">
        <v>70</v>
      </c>
      <c r="D48" s="46">
        <v>2.4700000000000002</v>
      </c>
      <c r="E48" s="46">
        <v>2.42</v>
      </c>
      <c r="F48" s="46">
        <v>2.52</v>
      </c>
      <c r="G48" s="46" t="s">
        <v>16</v>
      </c>
      <c r="H48" s="52"/>
      <c r="I48" s="46">
        <v>2.8</v>
      </c>
      <c r="J48" s="46">
        <v>3.11</v>
      </c>
      <c r="K48" s="54"/>
      <c r="L48" s="54"/>
      <c r="M48" s="57"/>
      <c r="N48" s="63">
        <f>M49/(H51-Q51)*100/36</f>
        <v>-6.3131313131313135E-2</v>
      </c>
      <c r="O48" s="47" t="s">
        <v>181</v>
      </c>
      <c r="P48" s="26"/>
      <c r="Q48" s="41"/>
      <c r="R48" s="26"/>
      <c r="S48" s="27"/>
    </row>
    <row r="49" spans="1:19" s="1" customFormat="1" ht="18" customHeight="1" x14ac:dyDescent="0.4">
      <c r="A49" s="46"/>
      <c r="B49" s="46"/>
      <c r="C49" s="46"/>
      <c r="D49" s="46"/>
      <c r="E49" s="46"/>
      <c r="F49" s="46"/>
      <c r="G49" s="46"/>
      <c r="H49" s="52"/>
      <c r="I49" s="46"/>
      <c r="J49" s="46"/>
      <c r="K49" s="54">
        <v>48.32</v>
      </c>
      <c r="L49" s="54">
        <f>K49-M49</f>
        <v>48.43</v>
      </c>
      <c r="M49" s="57">
        <v>-0.11</v>
      </c>
      <c r="N49" s="64"/>
      <c r="O49" s="50"/>
      <c r="P49" s="26"/>
      <c r="Q49" s="41"/>
      <c r="R49" s="26"/>
      <c r="S49" s="27"/>
    </row>
    <row r="50" spans="1:19" s="1" customFormat="1" ht="18" hidden="1" customHeight="1" x14ac:dyDescent="0.4">
      <c r="A50" s="15">
        <v>38</v>
      </c>
      <c r="B50" s="15" t="s">
        <v>71</v>
      </c>
      <c r="C50" s="46"/>
      <c r="D50" s="46"/>
      <c r="E50" s="46"/>
      <c r="F50" s="15" t="s">
        <v>16</v>
      </c>
      <c r="G50" s="15">
        <v>2.44</v>
      </c>
      <c r="H50" s="36"/>
      <c r="I50" s="15"/>
      <c r="J50" s="15" t="s">
        <v>16</v>
      </c>
      <c r="K50" s="54"/>
      <c r="L50" s="54"/>
      <c r="M50" s="57"/>
      <c r="N50" s="18"/>
      <c r="O50" s="13"/>
      <c r="P50" s="26"/>
      <c r="Q50" s="41"/>
      <c r="R50" s="26"/>
      <c r="S50" s="27"/>
    </row>
    <row r="51" spans="1:19" s="1" customFormat="1" ht="15" x14ac:dyDescent="0.4">
      <c r="A51" s="15"/>
      <c r="B51" s="48" t="s">
        <v>72</v>
      </c>
      <c r="C51" s="46" t="s">
        <v>73</v>
      </c>
      <c r="D51" s="46">
        <v>2</v>
      </c>
      <c r="E51" s="46">
        <v>12.05</v>
      </c>
      <c r="F51" s="46">
        <v>2.0499999999999998</v>
      </c>
      <c r="G51" s="46" t="s">
        <v>16</v>
      </c>
      <c r="H51" s="52">
        <v>27.84</v>
      </c>
      <c r="I51" s="46" t="s">
        <v>16</v>
      </c>
      <c r="J51" s="46">
        <v>2.92</v>
      </c>
      <c r="K51" s="54"/>
      <c r="L51" s="54"/>
      <c r="M51" s="57"/>
      <c r="N51" s="63">
        <f>M52/(H61-Q53)*100/36</f>
        <v>4.7854785478547868</v>
      </c>
      <c r="O51" s="47" t="s">
        <v>204</v>
      </c>
      <c r="P51" s="26"/>
      <c r="Q51" s="65">
        <v>23</v>
      </c>
      <c r="R51" s="26"/>
      <c r="S51" s="27"/>
    </row>
    <row r="52" spans="1:19" s="1" customFormat="1" ht="15" x14ac:dyDescent="0.4">
      <c r="A52" s="15">
        <v>39</v>
      </c>
      <c r="B52" s="48"/>
      <c r="C52" s="46"/>
      <c r="D52" s="46"/>
      <c r="E52" s="46"/>
      <c r="F52" s="46"/>
      <c r="G52" s="46"/>
      <c r="H52" s="52"/>
      <c r="I52" s="46"/>
      <c r="J52" s="46"/>
      <c r="K52" s="54">
        <v>36.6</v>
      </c>
      <c r="L52" s="54">
        <v>29.64</v>
      </c>
      <c r="M52" s="57">
        <v>6.96</v>
      </c>
      <c r="N52" s="64"/>
      <c r="O52" s="50"/>
      <c r="P52" s="26"/>
      <c r="Q52" s="65"/>
      <c r="R52" s="26"/>
      <c r="S52" s="27"/>
    </row>
    <row r="53" spans="1:19" s="1" customFormat="1" ht="15" x14ac:dyDescent="0.4">
      <c r="A53" s="15">
        <v>40</v>
      </c>
      <c r="B53" s="5" t="s">
        <v>74</v>
      </c>
      <c r="C53" s="15"/>
      <c r="D53" s="15"/>
      <c r="E53" s="15"/>
      <c r="F53" s="15"/>
      <c r="G53" s="15"/>
      <c r="H53" s="36">
        <v>0</v>
      </c>
      <c r="I53" s="15" t="s">
        <v>16</v>
      </c>
      <c r="J53" s="15" t="s">
        <v>16</v>
      </c>
      <c r="K53" s="54"/>
      <c r="L53" s="54"/>
      <c r="M53" s="57"/>
      <c r="N53" s="18"/>
      <c r="O53" s="33" t="s">
        <v>205</v>
      </c>
      <c r="P53" s="26"/>
      <c r="Q53" s="41">
        <v>22.5</v>
      </c>
      <c r="R53" s="26">
        <v>0.5</v>
      </c>
      <c r="S53" s="27"/>
    </row>
    <row r="54" spans="1:19" s="1" customFormat="1" ht="15" x14ac:dyDescent="0.4">
      <c r="A54" s="15">
        <v>41</v>
      </c>
      <c r="B54" s="10" t="s">
        <v>75</v>
      </c>
      <c r="C54" s="46" t="s">
        <v>76</v>
      </c>
      <c r="D54" s="46">
        <v>11.71</v>
      </c>
      <c r="E54" s="46">
        <v>11.5</v>
      </c>
      <c r="F54" s="15">
        <v>10.89</v>
      </c>
      <c r="G54" s="15" t="s">
        <v>16</v>
      </c>
      <c r="H54" s="36"/>
      <c r="I54" s="15">
        <v>2.99</v>
      </c>
      <c r="J54" s="15">
        <v>2.1800000000000002</v>
      </c>
      <c r="K54" s="54"/>
      <c r="L54" s="54"/>
      <c r="M54" s="57"/>
      <c r="N54" s="32"/>
      <c r="O54" s="33" t="s">
        <v>203</v>
      </c>
      <c r="P54" s="26"/>
      <c r="Q54" s="41"/>
      <c r="R54" s="26"/>
      <c r="S54" s="27"/>
    </row>
    <row r="55" spans="1:19" s="1" customFormat="1" ht="18" hidden="1" customHeight="1" x14ac:dyDescent="0.4">
      <c r="A55" s="15">
        <v>42</v>
      </c>
      <c r="B55" s="10" t="s">
        <v>77</v>
      </c>
      <c r="C55" s="46"/>
      <c r="D55" s="46"/>
      <c r="E55" s="46"/>
      <c r="F55" s="15" t="s">
        <v>16</v>
      </c>
      <c r="G55" s="15">
        <v>10.95</v>
      </c>
      <c r="H55" s="36"/>
      <c r="I55" s="15"/>
      <c r="J55" s="15" t="s">
        <v>16</v>
      </c>
      <c r="K55" s="54"/>
      <c r="L55" s="54"/>
      <c r="M55" s="57"/>
      <c r="N55" s="18"/>
      <c r="O55" s="13"/>
      <c r="P55" s="26"/>
      <c r="Q55" s="41"/>
      <c r="R55" s="26"/>
      <c r="S55" s="27"/>
    </row>
    <row r="56" spans="1:19" s="1" customFormat="1" ht="18" hidden="1" customHeight="1" x14ac:dyDescent="0.4">
      <c r="A56" s="15">
        <v>43</v>
      </c>
      <c r="B56" s="10" t="s">
        <v>78</v>
      </c>
      <c r="C56" s="46" t="s">
        <v>79</v>
      </c>
      <c r="D56" s="46">
        <v>11.45</v>
      </c>
      <c r="E56" s="46">
        <v>11.4</v>
      </c>
      <c r="F56" s="15">
        <v>10.84</v>
      </c>
      <c r="G56" s="15" t="s">
        <v>16</v>
      </c>
      <c r="H56" s="36"/>
      <c r="I56" s="15"/>
      <c r="J56" s="15">
        <v>2.4300000000000002</v>
      </c>
      <c r="K56" s="54"/>
      <c r="L56" s="54"/>
      <c r="M56" s="57"/>
      <c r="N56" s="18"/>
      <c r="O56" s="13"/>
      <c r="P56" s="26"/>
      <c r="Q56" s="41"/>
      <c r="R56" s="26"/>
      <c r="S56" s="27"/>
    </row>
    <row r="57" spans="1:19" s="1" customFormat="1" ht="20" hidden="1" customHeight="1" x14ac:dyDescent="0.4">
      <c r="A57" s="15">
        <v>44</v>
      </c>
      <c r="B57" s="10" t="s">
        <v>80</v>
      </c>
      <c r="C57" s="46"/>
      <c r="D57" s="46"/>
      <c r="E57" s="46"/>
      <c r="F57" s="15" t="s">
        <v>16</v>
      </c>
      <c r="G57" s="15">
        <v>10.76</v>
      </c>
      <c r="H57" s="36"/>
      <c r="I57" s="15"/>
      <c r="J57" s="15" t="s">
        <v>16</v>
      </c>
      <c r="K57" s="54"/>
      <c r="L57" s="54"/>
      <c r="M57" s="57"/>
      <c r="N57" s="18"/>
      <c r="O57" s="13"/>
      <c r="P57" s="26"/>
      <c r="Q57" s="41"/>
      <c r="R57" s="26"/>
      <c r="S57" s="27"/>
    </row>
    <row r="58" spans="1:19" s="1" customFormat="1" ht="15" x14ac:dyDescent="0.4">
      <c r="A58" s="46">
        <v>45</v>
      </c>
      <c r="B58" s="46" t="s">
        <v>81</v>
      </c>
      <c r="C58" s="46" t="s">
        <v>82</v>
      </c>
      <c r="D58" s="46">
        <v>10.56</v>
      </c>
      <c r="E58" s="46">
        <v>10.5</v>
      </c>
      <c r="F58" s="46">
        <v>10.14</v>
      </c>
      <c r="G58" s="46" t="s">
        <v>16</v>
      </c>
      <c r="H58" s="52"/>
      <c r="I58" s="46">
        <v>2.85</v>
      </c>
      <c r="J58" s="46">
        <v>2.62</v>
      </c>
      <c r="K58" s="54"/>
      <c r="L58" s="54"/>
      <c r="M58" s="57"/>
      <c r="N58" s="63">
        <f>M59/(H71-Q73)*100/36</f>
        <v>2.6536055923473141</v>
      </c>
      <c r="O58" s="47" t="s">
        <v>202</v>
      </c>
      <c r="P58" s="26"/>
      <c r="Q58" s="41"/>
      <c r="R58" s="26"/>
      <c r="S58" s="27"/>
    </row>
    <row r="59" spans="1:19" s="1" customFormat="1" ht="15" x14ac:dyDescent="0.4">
      <c r="A59" s="46"/>
      <c r="B59" s="46"/>
      <c r="C59" s="46"/>
      <c r="D59" s="46"/>
      <c r="E59" s="46"/>
      <c r="F59" s="46"/>
      <c r="G59" s="46"/>
      <c r="H59" s="52"/>
      <c r="I59" s="46"/>
      <c r="J59" s="46"/>
      <c r="K59" s="54">
        <v>34.92</v>
      </c>
      <c r="L59" s="54">
        <f>K59-M59</f>
        <v>29.150000000000002</v>
      </c>
      <c r="M59" s="57">
        <v>5.77</v>
      </c>
      <c r="N59" s="64"/>
      <c r="O59" s="50"/>
      <c r="P59" s="26"/>
      <c r="Q59" s="41"/>
      <c r="R59" s="26"/>
      <c r="S59" s="27"/>
    </row>
    <row r="60" spans="1:19" s="1" customFormat="1" ht="15.6" hidden="1" customHeight="1" x14ac:dyDescent="0.4">
      <c r="A60" s="15">
        <v>46</v>
      </c>
      <c r="B60" s="10" t="s">
        <v>83</v>
      </c>
      <c r="C60" s="46"/>
      <c r="D60" s="46"/>
      <c r="E60" s="46"/>
      <c r="F60" s="15" t="s">
        <v>16</v>
      </c>
      <c r="G60" s="15">
        <v>10.11</v>
      </c>
      <c r="H60" s="36"/>
      <c r="I60" s="15"/>
      <c r="J60" s="15" t="s">
        <v>16</v>
      </c>
      <c r="K60" s="54"/>
      <c r="L60" s="54"/>
      <c r="M60" s="57"/>
      <c r="N60" s="18"/>
      <c r="O60" s="13"/>
      <c r="P60" s="26"/>
      <c r="Q60" s="41"/>
      <c r="R60" s="26"/>
      <c r="S60" s="27"/>
    </row>
    <row r="61" spans="1:19" s="1" customFormat="1" ht="15" x14ac:dyDescent="0.4">
      <c r="A61" s="15">
        <v>47</v>
      </c>
      <c r="B61" s="5" t="s">
        <v>84</v>
      </c>
      <c r="C61" s="15" t="s">
        <v>85</v>
      </c>
      <c r="D61" s="15">
        <v>9.82</v>
      </c>
      <c r="E61" s="15">
        <v>9</v>
      </c>
      <c r="F61" s="15" t="s">
        <v>16</v>
      </c>
      <c r="G61" s="15" t="s">
        <v>16</v>
      </c>
      <c r="H61" s="36">
        <v>26.54</v>
      </c>
      <c r="I61" s="15">
        <v>0</v>
      </c>
      <c r="J61" s="15" t="s">
        <v>16</v>
      </c>
      <c r="K61" s="54"/>
      <c r="L61" s="54"/>
      <c r="M61" s="57"/>
      <c r="N61" s="18"/>
      <c r="O61" s="33" t="s">
        <v>205</v>
      </c>
      <c r="P61" s="26"/>
      <c r="Q61" s="41"/>
      <c r="R61" s="26"/>
      <c r="S61" s="27"/>
    </row>
    <row r="62" spans="1:19" s="1" customFormat="1" ht="15" x14ac:dyDescent="0.4">
      <c r="A62" s="46">
        <v>48</v>
      </c>
      <c r="B62" s="46" t="s">
        <v>86</v>
      </c>
      <c r="C62" s="46" t="s">
        <v>87</v>
      </c>
      <c r="D62" s="46">
        <v>10.08</v>
      </c>
      <c r="E62" s="46">
        <v>10.029999999999999</v>
      </c>
      <c r="F62" s="46">
        <v>9.6</v>
      </c>
      <c r="G62" s="46" t="s">
        <v>16</v>
      </c>
      <c r="H62" s="52"/>
      <c r="I62" s="46">
        <v>3</v>
      </c>
      <c r="J62" s="46">
        <v>2.19</v>
      </c>
      <c r="K62" s="54"/>
      <c r="L62" s="54"/>
      <c r="M62" s="57"/>
      <c r="N62" s="63">
        <f>M63/(H71-Q73)*100/36</f>
        <v>3.8309418690213395</v>
      </c>
      <c r="O62" s="47" t="s">
        <v>201</v>
      </c>
      <c r="P62" s="26"/>
      <c r="Q62" s="41"/>
      <c r="R62" s="26"/>
      <c r="S62" s="27"/>
    </row>
    <row r="63" spans="1:19" s="1" customFormat="1" ht="15" x14ac:dyDescent="0.4">
      <c r="A63" s="46"/>
      <c r="B63" s="46"/>
      <c r="C63" s="46"/>
      <c r="D63" s="46"/>
      <c r="E63" s="49"/>
      <c r="F63" s="46"/>
      <c r="G63" s="46"/>
      <c r="H63" s="52"/>
      <c r="I63" s="46"/>
      <c r="J63" s="46"/>
      <c r="K63" s="54">
        <v>39.97</v>
      </c>
      <c r="L63" s="54">
        <f>K63-M63</f>
        <v>31.64</v>
      </c>
      <c r="M63" s="57">
        <v>8.33</v>
      </c>
      <c r="N63" s="64"/>
      <c r="O63" s="50"/>
      <c r="P63" s="26"/>
      <c r="Q63" s="41"/>
      <c r="R63" s="26"/>
      <c r="S63" s="27"/>
    </row>
    <row r="64" spans="1:19" s="1" customFormat="1" ht="15.6" hidden="1" customHeight="1" x14ac:dyDescent="0.4">
      <c r="A64" s="15">
        <v>49</v>
      </c>
      <c r="B64" s="10" t="s">
        <v>88</v>
      </c>
      <c r="C64" s="9"/>
      <c r="D64" s="9"/>
      <c r="E64" s="9"/>
      <c r="F64" s="15" t="s">
        <v>16</v>
      </c>
      <c r="G64" s="15">
        <v>9.6300000000000008</v>
      </c>
      <c r="H64" s="36"/>
      <c r="I64" s="15"/>
      <c r="J64" s="15" t="s">
        <v>16</v>
      </c>
      <c r="K64" s="54"/>
      <c r="L64" s="54"/>
      <c r="M64" s="57"/>
      <c r="N64" s="18"/>
      <c r="O64" s="13"/>
      <c r="P64" s="26"/>
      <c r="Q64" s="41"/>
      <c r="R64" s="26"/>
      <c r="S64" s="27"/>
    </row>
    <row r="65" spans="1:19" s="1" customFormat="1" ht="15.6" customHeight="1" x14ac:dyDescent="0.4">
      <c r="A65" s="46">
        <v>50</v>
      </c>
      <c r="B65" s="46" t="s">
        <v>89</v>
      </c>
      <c r="C65" s="46" t="s">
        <v>90</v>
      </c>
      <c r="D65" s="46">
        <v>9.77</v>
      </c>
      <c r="E65" s="46">
        <v>9.7200000000000006</v>
      </c>
      <c r="F65" s="46">
        <v>9.07</v>
      </c>
      <c r="G65" s="46" t="s">
        <v>16</v>
      </c>
      <c r="H65" s="52"/>
      <c r="I65" s="46">
        <v>3</v>
      </c>
      <c r="J65" s="46">
        <v>1.57</v>
      </c>
      <c r="K65" s="54"/>
      <c r="L65" s="54"/>
      <c r="M65" s="57"/>
      <c r="N65" s="63">
        <f>M66/(H71-Q73)*100/36</f>
        <v>5.3623988226637245</v>
      </c>
      <c r="O65" s="47" t="s">
        <v>200</v>
      </c>
      <c r="P65" s="26"/>
      <c r="Q65" s="41"/>
      <c r="R65" s="26"/>
      <c r="S65" s="27"/>
    </row>
    <row r="66" spans="1:19" s="1" customFormat="1" ht="15" x14ac:dyDescent="0.4">
      <c r="A66" s="46"/>
      <c r="B66" s="46"/>
      <c r="C66" s="46"/>
      <c r="D66" s="49"/>
      <c r="E66" s="46"/>
      <c r="F66" s="46"/>
      <c r="G66" s="46"/>
      <c r="H66" s="52"/>
      <c r="I66" s="46"/>
      <c r="J66" s="46"/>
      <c r="K66" s="55">
        <v>48.6</v>
      </c>
      <c r="L66" s="54">
        <f>K66-M66</f>
        <v>36.94</v>
      </c>
      <c r="M66" s="58">
        <v>11.66</v>
      </c>
      <c r="N66" s="64"/>
      <c r="O66" s="50"/>
      <c r="P66" s="26"/>
      <c r="Q66" s="41"/>
      <c r="R66" s="26"/>
      <c r="S66" s="27"/>
    </row>
    <row r="67" spans="1:19" s="1" customFormat="1" ht="15.6" hidden="1" customHeight="1" x14ac:dyDescent="0.4">
      <c r="A67" s="15">
        <v>51</v>
      </c>
      <c r="B67" s="10" t="s">
        <v>91</v>
      </c>
      <c r="C67" s="9"/>
      <c r="D67" s="27"/>
      <c r="E67" s="46"/>
      <c r="F67" s="15" t="s">
        <v>16</v>
      </c>
      <c r="G67" s="15">
        <v>9.1</v>
      </c>
      <c r="H67" s="36"/>
      <c r="I67" s="15"/>
      <c r="J67" s="15" t="s">
        <v>16</v>
      </c>
      <c r="K67" s="55"/>
      <c r="L67" s="54"/>
      <c r="M67" s="58"/>
      <c r="N67" s="16"/>
      <c r="O67" s="13"/>
      <c r="P67" s="26"/>
      <c r="Q67" s="41"/>
      <c r="R67" s="26"/>
      <c r="S67" s="27"/>
    </row>
    <row r="68" spans="1:19" s="1" customFormat="1" ht="15" x14ac:dyDescent="0.4">
      <c r="A68" s="46">
        <v>52</v>
      </c>
      <c r="B68" s="46" t="s">
        <v>92</v>
      </c>
      <c r="C68" s="46" t="s">
        <v>93</v>
      </c>
      <c r="D68" s="46">
        <v>9.5500000000000007</v>
      </c>
      <c r="E68" s="50">
        <v>9.14</v>
      </c>
      <c r="F68" s="50">
        <v>8.7200000000000006</v>
      </c>
      <c r="G68" s="46" t="s">
        <v>16</v>
      </c>
      <c r="H68" s="52"/>
      <c r="I68" s="46">
        <v>3.6</v>
      </c>
      <c r="J68" s="50">
        <v>4.17</v>
      </c>
      <c r="K68" s="55"/>
      <c r="L68" s="54"/>
      <c r="M68" s="58"/>
      <c r="N68" s="61">
        <f>M69/(H71-Q73)*100/36</f>
        <v>1.6464311994113323</v>
      </c>
      <c r="O68" s="47" t="s">
        <v>199</v>
      </c>
      <c r="P68" s="26"/>
      <c r="Q68" s="41"/>
      <c r="R68" s="26"/>
      <c r="S68" s="27"/>
    </row>
    <row r="69" spans="1:19" s="1" customFormat="1" ht="15" x14ac:dyDescent="0.4">
      <c r="A69" s="46"/>
      <c r="B69" s="46"/>
      <c r="C69" s="49"/>
      <c r="D69" s="49"/>
      <c r="E69" s="50"/>
      <c r="F69" s="50"/>
      <c r="G69" s="46"/>
      <c r="H69" s="52"/>
      <c r="I69" s="46"/>
      <c r="J69" s="50"/>
      <c r="K69" s="44">
        <v>18.52</v>
      </c>
      <c r="L69" s="54">
        <f>K69-M69</f>
        <v>14.94</v>
      </c>
      <c r="M69" s="56">
        <v>3.58</v>
      </c>
      <c r="N69" s="62"/>
      <c r="O69" s="50"/>
      <c r="P69" s="9"/>
      <c r="Q69" s="41"/>
      <c r="R69" s="26"/>
      <c r="S69" s="27"/>
    </row>
    <row r="70" spans="1:19" s="1" customFormat="1" ht="15.6" hidden="1" customHeight="1" x14ac:dyDescent="0.4">
      <c r="A70" s="15">
        <v>53</v>
      </c>
      <c r="B70" s="10" t="s">
        <v>94</v>
      </c>
      <c r="C70" s="27"/>
      <c r="D70" s="27"/>
      <c r="E70" s="50"/>
      <c r="F70" s="15" t="s">
        <v>16</v>
      </c>
      <c r="G70" s="13">
        <v>8.64</v>
      </c>
      <c r="H70" s="37"/>
      <c r="I70" s="13"/>
      <c r="J70" s="15" t="s">
        <v>16</v>
      </c>
      <c r="K70" s="44"/>
      <c r="L70" s="54"/>
      <c r="M70" s="56"/>
      <c r="N70" s="17"/>
      <c r="O70" s="13"/>
      <c r="P70" s="9"/>
      <c r="Q70" s="41"/>
      <c r="R70" s="26"/>
      <c r="S70" s="27"/>
    </row>
    <row r="71" spans="1:19" s="1" customFormat="1" ht="15.6" customHeight="1" x14ac:dyDescent="0.4">
      <c r="A71" s="46">
        <v>54</v>
      </c>
      <c r="B71" s="46" t="s">
        <v>95</v>
      </c>
      <c r="C71" s="46" t="s">
        <v>96</v>
      </c>
      <c r="D71" s="46">
        <v>8.9600000000000009</v>
      </c>
      <c r="E71" s="46">
        <v>8.66</v>
      </c>
      <c r="F71" s="46">
        <v>8.3699999999999992</v>
      </c>
      <c r="G71" s="46" t="s">
        <v>16</v>
      </c>
      <c r="H71" s="52">
        <v>27.14</v>
      </c>
      <c r="I71" s="46">
        <v>2.9</v>
      </c>
      <c r="J71" s="46">
        <v>2.39</v>
      </c>
      <c r="K71" s="51"/>
      <c r="L71" s="54"/>
      <c r="M71" s="56"/>
      <c r="N71" s="59">
        <f>M72/(H86-Q86)*100/36</f>
        <v>1.544715447154472</v>
      </c>
      <c r="O71" s="47" t="s">
        <v>180</v>
      </c>
      <c r="P71" s="9"/>
      <c r="Q71" s="41"/>
      <c r="R71" s="26"/>
      <c r="S71" s="27"/>
    </row>
    <row r="72" spans="1:19" s="1" customFormat="1" ht="15" x14ac:dyDescent="0.4">
      <c r="A72" s="46"/>
      <c r="B72" s="46"/>
      <c r="C72" s="49"/>
      <c r="D72" s="46"/>
      <c r="E72" s="49"/>
      <c r="F72" s="46"/>
      <c r="G72" s="46"/>
      <c r="H72" s="52"/>
      <c r="I72" s="46"/>
      <c r="J72" s="46"/>
      <c r="K72" s="44">
        <v>22.6</v>
      </c>
      <c r="L72" s="54">
        <f>K72-M72</f>
        <v>19.18</v>
      </c>
      <c r="M72" s="56">
        <v>3.42</v>
      </c>
      <c r="N72" s="60"/>
      <c r="O72" s="50"/>
      <c r="P72" s="26"/>
      <c r="Q72" s="41"/>
      <c r="R72" s="26"/>
      <c r="S72" s="27"/>
    </row>
    <row r="73" spans="1:19" s="1" customFormat="1" ht="15" x14ac:dyDescent="0.4">
      <c r="A73" s="15">
        <v>55</v>
      </c>
      <c r="B73" s="8" t="s">
        <v>97</v>
      </c>
      <c r="C73" s="9"/>
      <c r="D73" s="15"/>
      <c r="E73" s="9"/>
      <c r="F73" s="15"/>
      <c r="G73" s="15"/>
      <c r="H73" s="36">
        <v>0</v>
      </c>
      <c r="I73" s="15">
        <v>0</v>
      </c>
      <c r="J73" s="15" t="s">
        <v>16</v>
      </c>
      <c r="K73" s="44"/>
      <c r="L73" s="54"/>
      <c r="M73" s="56"/>
      <c r="N73" s="17"/>
      <c r="O73" s="33" t="s">
        <v>205</v>
      </c>
      <c r="P73" s="26"/>
      <c r="Q73" s="41">
        <v>21.1</v>
      </c>
      <c r="R73" s="26">
        <v>0.1</v>
      </c>
      <c r="S73" s="27"/>
    </row>
    <row r="74" spans="1:19" s="1" customFormat="1" ht="15" hidden="1" customHeight="1" x14ac:dyDescent="0.4">
      <c r="A74" s="15">
        <v>56</v>
      </c>
      <c r="B74" s="10" t="s">
        <v>98</v>
      </c>
      <c r="C74" s="9"/>
      <c r="D74" s="15"/>
      <c r="E74" s="9"/>
      <c r="F74" s="15" t="s">
        <v>16</v>
      </c>
      <c r="G74" s="15">
        <v>8.32</v>
      </c>
      <c r="H74" s="36"/>
      <c r="I74" s="15"/>
      <c r="J74" s="15" t="s">
        <v>16</v>
      </c>
      <c r="K74" s="44"/>
      <c r="L74" s="54"/>
      <c r="M74" s="56"/>
      <c r="N74" s="17"/>
      <c r="O74" s="13"/>
      <c r="P74" s="26"/>
      <c r="Q74" s="41"/>
      <c r="R74" s="26"/>
      <c r="S74" s="27"/>
    </row>
    <row r="75" spans="1:19" s="1" customFormat="1" ht="15" x14ac:dyDescent="0.4">
      <c r="A75" s="46">
        <v>57</v>
      </c>
      <c r="B75" s="46" t="s">
        <v>99</v>
      </c>
      <c r="C75" s="46" t="s">
        <v>100</v>
      </c>
      <c r="D75" s="46">
        <v>8.42</v>
      </c>
      <c r="E75" s="46">
        <v>8.15</v>
      </c>
      <c r="F75" s="46">
        <v>7.95</v>
      </c>
      <c r="G75" s="46" t="s">
        <v>16</v>
      </c>
      <c r="H75" s="52"/>
      <c r="I75" s="46">
        <v>2.5</v>
      </c>
      <c r="J75" s="46">
        <v>2.5299999999999998</v>
      </c>
      <c r="K75" s="44"/>
      <c r="L75" s="54"/>
      <c r="M75" s="56"/>
      <c r="N75" s="59">
        <f>M76/(H86-Q86)*100/36</f>
        <v>2.0957542908762425</v>
      </c>
      <c r="O75" s="66" t="s">
        <v>179</v>
      </c>
      <c r="P75" s="26"/>
      <c r="Q75" s="41"/>
      <c r="R75" s="26"/>
      <c r="S75" s="27"/>
    </row>
    <row r="76" spans="1:19" s="1" customFormat="1" ht="15" x14ac:dyDescent="0.4">
      <c r="A76" s="46"/>
      <c r="B76" s="46"/>
      <c r="C76" s="46"/>
      <c r="D76" s="46"/>
      <c r="E76" s="46"/>
      <c r="F76" s="46"/>
      <c r="G76" s="46"/>
      <c r="H76" s="52"/>
      <c r="I76" s="46"/>
      <c r="J76" s="46"/>
      <c r="K76" s="44">
        <v>42.32</v>
      </c>
      <c r="L76" s="54">
        <f>K76-M76</f>
        <v>37.68</v>
      </c>
      <c r="M76" s="56">
        <v>4.6399999999999997</v>
      </c>
      <c r="N76" s="60"/>
      <c r="O76" s="68"/>
      <c r="P76" s="46"/>
      <c r="Q76" s="65"/>
      <c r="R76" s="26"/>
      <c r="S76" s="27"/>
    </row>
    <row r="77" spans="1:19" s="1" customFormat="1" ht="15" hidden="1" customHeight="1" x14ac:dyDescent="0.4">
      <c r="A77" s="15">
        <v>58</v>
      </c>
      <c r="B77" s="10" t="s">
        <v>101</v>
      </c>
      <c r="C77" s="46"/>
      <c r="D77" s="46"/>
      <c r="E77" s="46"/>
      <c r="F77" s="15" t="s">
        <v>16</v>
      </c>
      <c r="G77" s="15">
        <v>7.83</v>
      </c>
      <c r="H77" s="36"/>
      <c r="I77" s="15"/>
      <c r="J77" s="15" t="s">
        <v>16</v>
      </c>
      <c r="K77" s="44"/>
      <c r="L77" s="54"/>
      <c r="M77" s="56"/>
      <c r="N77" s="17"/>
      <c r="O77" s="13"/>
      <c r="P77" s="46"/>
      <c r="Q77" s="65"/>
      <c r="R77" s="26"/>
      <c r="S77" s="27"/>
    </row>
    <row r="78" spans="1:19" s="1" customFormat="1" ht="15" x14ac:dyDescent="0.4">
      <c r="A78" s="46">
        <v>59</v>
      </c>
      <c r="B78" s="46" t="s">
        <v>102</v>
      </c>
      <c r="C78" s="46" t="s">
        <v>103</v>
      </c>
      <c r="D78" s="46">
        <v>7.47</v>
      </c>
      <c r="E78" s="46">
        <v>7.42</v>
      </c>
      <c r="F78" s="46">
        <v>7.18</v>
      </c>
      <c r="G78" s="46" t="s">
        <v>16</v>
      </c>
      <c r="H78" s="52"/>
      <c r="I78" s="46">
        <v>2.8</v>
      </c>
      <c r="J78" s="46">
        <v>2.71</v>
      </c>
      <c r="K78" s="44"/>
      <c r="L78" s="54"/>
      <c r="M78" s="56"/>
      <c r="N78" s="59">
        <f>M79/(H86-Q86)*100/36</f>
        <v>0.86269196025293604</v>
      </c>
      <c r="O78" s="66" t="s">
        <v>178</v>
      </c>
      <c r="P78" s="46"/>
      <c r="Q78" s="65"/>
      <c r="R78" s="26"/>
      <c r="S78" s="27"/>
    </row>
    <row r="79" spans="1:19" s="1" customFormat="1" ht="15" x14ac:dyDescent="0.4">
      <c r="A79" s="46"/>
      <c r="B79" s="46"/>
      <c r="C79" s="46"/>
      <c r="D79" s="46"/>
      <c r="E79" s="46"/>
      <c r="F79" s="46"/>
      <c r="G79" s="46"/>
      <c r="H79" s="52"/>
      <c r="I79" s="46"/>
      <c r="J79" s="46"/>
      <c r="K79" s="44">
        <v>19.62</v>
      </c>
      <c r="L79" s="54">
        <f>K79-M79</f>
        <v>17.71</v>
      </c>
      <c r="M79" s="56">
        <v>1.91</v>
      </c>
      <c r="N79" s="60"/>
      <c r="O79" s="68"/>
      <c r="P79" s="26"/>
      <c r="Q79" s="41"/>
      <c r="R79" s="26"/>
      <c r="S79" s="27"/>
    </row>
    <row r="80" spans="1:19" s="1" customFormat="1" ht="15" hidden="1" customHeight="1" x14ac:dyDescent="0.4">
      <c r="A80" s="15">
        <v>60</v>
      </c>
      <c r="B80" s="10" t="s">
        <v>104</v>
      </c>
      <c r="C80" s="15" t="s">
        <v>103</v>
      </c>
      <c r="D80" s="15">
        <v>7.47</v>
      </c>
      <c r="E80" s="15">
        <v>7.42</v>
      </c>
      <c r="F80" s="15" t="s">
        <v>16</v>
      </c>
      <c r="G80" s="15">
        <v>7.26</v>
      </c>
      <c r="H80" s="36"/>
      <c r="I80" s="15"/>
      <c r="J80" s="15" t="s">
        <v>16</v>
      </c>
      <c r="K80" s="44"/>
      <c r="L80" s="54"/>
      <c r="M80" s="56"/>
      <c r="N80" s="17"/>
      <c r="O80" s="13"/>
      <c r="P80" s="26"/>
      <c r="Q80" s="41"/>
      <c r="R80" s="26"/>
      <c r="S80" s="27"/>
    </row>
    <row r="81" spans="1:19" s="1" customFormat="1" ht="15" x14ac:dyDescent="0.4">
      <c r="A81" s="46">
        <v>61</v>
      </c>
      <c r="B81" s="46" t="s">
        <v>105</v>
      </c>
      <c r="C81" s="46" t="s">
        <v>106</v>
      </c>
      <c r="D81" s="46">
        <v>7.15</v>
      </c>
      <c r="E81" s="46">
        <v>6.88</v>
      </c>
      <c r="F81" s="46">
        <v>6.82</v>
      </c>
      <c r="G81" s="46" t="s">
        <v>16</v>
      </c>
      <c r="H81" s="52"/>
      <c r="I81" s="46">
        <v>2.6</v>
      </c>
      <c r="J81" s="46">
        <v>2.67</v>
      </c>
      <c r="K81" s="44"/>
      <c r="L81" s="54"/>
      <c r="M81" s="56"/>
      <c r="N81" s="59">
        <f>M82/(H86-Q86)*100/36</f>
        <v>0.2710027100271003</v>
      </c>
      <c r="O81" s="66" t="s">
        <v>177</v>
      </c>
      <c r="P81" s="26"/>
      <c r="Q81" s="41"/>
      <c r="R81" s="26"/>
      <c r="S81" s="27"/>
    </row>
    <row r="82" spans="1:19" s="1" customFormat="1" ht="15" x14ac:dyDescent="0.4">
      <c r="A82" s="46"/>
      <c r="B82" s="46"/>
      <c r="C82" s="46"/>
      <c r="D82" s="46"/>
      <c r="E82" s="46"/>
      <c r="F82" s="46"/>
      <c r="G82" s="46"/>
      <c r="H82" s="52"/>
      <c r="I82" s="46"/>
      <c r="J82" s="46"/>
      <c r="K82" s="44">
        <v>10.130000000000001</v>
      </c>
      <c r="L82" s="54">
        <f>K82-M82</f>
        <v>9.5300000000000011</v>
      </c>
      <c r="M82" s="56">
        <v>0.6</v>
      </c>
      <c r="N82" s="60"/>
      <c r="O82" s="68"/>
      <c r="P82" s="26"/>
      <c r="Q82" s="41"/>
      <c r="R82" s="26"/>
      <c r="S82" s="27"/>
    </row>
    <row r="83" spans="1:19" s="1" customFormat="1" ht="15" hidden="1" customHeight="1" x14ac:dyDescent="0.4">
      <c r="A83" s="15">
        <v>62</v>
      </c>
      <c r="B83" s="10" t="s">
        <v>107</v>
      </c>
      <c r="C83" s="46"/>
      <c r="D83" s="46"/>
      <c r="E83" s="46"/>
      <c r="F83" s="15" t="s">
        <v>16</v>
      </c>
      <c r="G83" s="15">
        <v>6.74</v>
      </c>
      <c r="H83" s="36"/>
      <c r="I83" s="15"/>
      <c r="J83" s="15" t="s">
        <v>16</v>
      </c>
      <c r="K83" s="44"/>
      <c r="L83" s="54"/>
      <c r="M83" s="56"/>
      <c r="N83" s="17"/>
      <c r="O83" s="13"/>
      <c r="P83" s="26"/>
      <c r="Q83" s="41"/>
      <c r="R83" s="26"/>
      <c r="S83" s="27"/>
    </row>
    <row r="84" spans="1:19" s="1" customFormat="1" ht="15" hidden="1" customHeight="1" x14ac:dyDescent="0.4">
      <c r="A84" s="15">
        <v>63</v>
      </c>
      <c r="B84" s="10" t="s">
        <v>108</v>
      </c>
      <c r="C84" s="46" t="s">
        <v>109</v>
      </c>
      <c r="D84" s="46">
        <v>6.71</v>
      </c>
      <c r="E84" s="46">
        <v>6.44</v>
      </c>
      <c r="F84" s="15">
        <v>6.57</v>
      </c>
      <c r="G84" s="15" t="s">
        <v>16</v>
      </c>
      <c r="H84" s="36"/>
      <c r="I84" s="15"/>
      <c r="J84" s="15">
        <v>2.86</v>
      </c>
      <c r="K84" s="44"/>
      <c r="L84" s="54"/>
      <c r="M84" s="56"/>
      <c r="N84" s="17"/>
      <c r="O84" s="13"/>
      <c r="P84" s="26"/>
      <c r="Q84" s="41"/>
      <c r="R84" s="26"/>
      <c r="S84" s="27"/>
    </row>
    <row r="85" spans="1:19" s="1" customFormat="1" ht="15" hidden="1" customHeight="1" x14ac:dyDescent="0.4">
      <c r="A85" s="15">
        <v>64</v>
      </c>
      <c r="B85" s="10" t="s">
        <v>110</v>
      </c>
      <c r="C85" s="50"/>
      <c r="D85" s="50"/>
      <c r="E85" s="50"/>
      <c r="F85" s="15" t="s">
        <v>16</v>
      </c>
      <c r="G85" s="15">
        <v>6.35</v>
      </c>
      <c r="H85" s="36"/>
      <c r="I85" s="15"/>
      <c r="J85" s="15" t="s">
        <v>16</v>
      </c>
      <c r="K85" s="44"/>
      <c r="L85" s="54"/>
      <c r="M85" s="56"/>
      <c r="N85" s="17"/>
      <c r="O85" s="13"/>
      <c r="P85" s="26"/>
      <c r="Q85" s="41"/>
      <c r="R85" s="26"/>
      <c r="S85" s="27"/>
    </row>
    <row r="86" spans="1:19" s="1" customFormat="1" ht="15" x14ac:dyDescent="0.4">
      <c r="A86" s="46">
        <v>65</v>
      </c>
      <c r="B86" s="48" t="s">
        <v>111</v>
      </c>
      <c r="C86" s="50" t="s">
        <v>112</v>
      </c>
      <c r="D86" s="50">
        <v>6.26</v>
      </c>
      <c r="E86" s="50">
        <v>13.04</v>
      </c>
      <c r="F86" s="46">
        <v>6.16</v>
      </c>
      <c r="G86" s="46" t="s">
        <v>16</v>
      </c>
      <c r="H86" s="52">
        <v>27.15</v>
      </c>
      <c r="I86" s="46" t="s">
        <v>16</v>
      </c>
      <c r="J86" s="46">
        <v>2.9</v>
      </c>
      <c r="K86" s="44"/>
      <c r="L86" s="54"/>
      <c r="M86" s="56"/>
      <c r="N86" s="59">
        <f>M87/(H107-Q124)*100/36</f>
        <v>0.17301038062283733</v>
      </c>
      <c r="O86" s="66" t="s">
        <v>176</v>
      </c>
      <c r="P86" s="26"/>
      <c r="Q86" s="65">
        <v>21</v>
      </c>
      <c r="R86" s="26"/>
      <c r="S86" s="27"/>
    </row>
    <row r="87" spans="1:19" s="1" customFormat="1" ht="15" x14ac:dyDescent="0.4">
      <c r="A87" s="46"/>
      <c r="B87" s="48"/>
      <c r="C87" s="50"/>
      <c r="D87" s="50"/>
      <c r="E87" s="50"/>
      <c r="F87" s="46"/>
      <c r="G87" s="46"/>
      <c r="H87" s="52"/>
      <c r="I87" s="46"/>
      <c r="J87" s="46"/>
      <c r="K87" s="44">
        <v>10.93</v>
      </c>
      <c r="L87" s="44">
        <v>10.57</v>
      </c>
      <c r="M87" s="56">
        <v>0.36</v>
      </c>
      <c r="N87" s="60"/>
      <c r="O87" s="68"/>
      <c r="P87" s="26"/>
      <c r="Q87" s="65"/>
      <c r="R87" s="26"/>
      <c r="S87" s="27"/>
    </row>
    <row r="88" spans="1:19" s="1" customFormat="1" ht="15" hidden="1" customHeight="1" x14ac:dyDescent="0.4">
      <c r="A88" s="15">
        <v>66</v>
      </c>
      <c r="B88" s="14" t="s">
        <v>113</v>
      </c>
      <c r="C88" s="50"/>
      <c r="D88" s="50"/>
      <c r="E88" s="50"/>
      <c r="F88" s="15" t="s">
        <v>16</v>
      </c>
      <c r="G88" s="15">
        <v>12.75</v>
      </c>
      <c r="H88" s="36"/>
      <c r="I88" s="15"/>
      <c r="J88" s="15" t="s">
        <v>16</v>
      </c>
      <c r="K88" s="44"/>
      <c r="L88" s="44"/>
      <c r="M88" s="56"/>
      <c r="N88" s="17"/>
      <c r="O88" s="13"/>
      <c r="P88" s="26"/>
      <c r="Q88" s="41"/>
      <c r="R88" s="26"/>
      <c r="S88" s="27"/>
    </row>
    <row r="89" spans="1:19" s="1" customFormat="1" ht="15" x14ac:dyDescent="0.4">
      <c r="A89" s="15">
        <v>67</v>
      </c>
      <c r="B89" s="8" t="s">
        <v>114</v>
      </c>
      <c r="C89" s="13"/>
      <c r="D89" s="13"/>
      <c r="E89" s="13"/>
      <c r="F89" s="15"/>
      <c r="G89" s="15"/>
      <c r="H89" s="36">
        <v>0</v>
      </c>
      <c r="I89" s="15">
        <v>0</v>
      </c>
      <c r="J89" s="15" t="s">
        <v>16</v>
      </c>
      <c r="K89" s="44"/>
      <c r="L89" s="44"/>
      <c r="M89" s="56"/>
      <c r="N89" s="17"/>
      <c r="O89" s="33" t="s">
        <v>205</v>
      </c>
      <c r="P89" s="26"/>
      <c r="Q89" s="41">
        <v>20.5</v>
      </c>
      <c r="R89" s="26">
        <v>0.5</v>
      </c>
      <c r="S89" s="27"/>
    </row>
    <row r="90" spans="1:19" s="1" customFormat="1" ht="15" x14ac:dyDescent="0.4">
      <c r="A90" s="46">
        <v>68</v>
      </c>
      <c r="B90" s="46" t="s">
        <v>115</v>
      </c>
      <c r="C90" s="46" t="s">
        <v>116</v>
      </c>
      <c r="D90" s="46">
        <v>12.89</v>
      </c>
      <c r="E90" s="46">
        <v>12.63</v>
      </c>
      <c r="F90" s="46">
        <v>12.17</v>
      </c>
      <c r="G90" s="46" t="s">
        <v>16</v>
      </c>
      <c r="H90" s="52"/>
      <c r="I90" s="46">
        <v>2.5</v>
      </c>
      <c r="J90" s="46">
        <v>2.36</v>
      </c>
      <c r="K90" s="44"/>
      <c r="L90" s="44"/>
      <c r="M90" s="56"/>
      <c r="N90" s="59">
        <f>M91/(H107-Q124)*100/36</f>
        <v>1.7204921184159936</v>
      </c>
      <c r="O90" s="66" t="s">
        <v>175</v>
      </c>
      <c r="P90" s="26"/>
      <c r="Q90" s="41"/>
      <c r="R90" s="26"/>
      <c r="S90" s="27"/>
    </row>
    <row r="91" spans="1:19" s="1" customFormat="1" ht="15" x14ac:dyDescent="0.4">
      <c r="A91" s="46"/>
      <c r="B91" s="46"/>
      <c r="C91" s="50"/>
      <c r="D91" s="50"/>
      <c r="E91" s="50"/>
      <c r="F91" s="46"/>
      <c r="G91" s="46"/>
      <c r="H91" s="52"/>
      <c r="I91" s="46"/>
      <c r="J91" s="46"/>
      <c r="K91" s="44">
        <v>18.14</v>
      </c>
      <c r="L91" s="44">
        <f>K91-M91</f>
        <v>14.56</v>
      </c>
      <c r="M91" s="56">
        <v>3.58</v>
      </c>
      <c r="N91" s="60"/>
      <c r="O91" s="67"/>
      <c r="P91" s="26"/>
      <c r="Q91" s="41"/>
      <c r="R91" s="26"/>
      <c r="S91" s="27"/>
    </row>
    <row r="92" spans="1:19" s="1" customFormat="1" ht="15" hidden="1" customHeight="1" x14ac:dyDescent="0.4">
      <c r="A92" s="15">
        <v>69</v>
      </c>
      <c r="B92" s="10" t="s">
        <v>117</v>
      </c>
      <c r="C92" s="50"/>
      <c r="D92" s="50"/>
      <c r="E92" s="50"/>
      <c r="F92" s="15" t="s">
        <v>16</v>
      </c>
      <c r="G92" s="15">
        <v>12.04</v>
      </c>
      <c r="H92" s="36"/>
      <c r="I92" s="15"/>
      <c r="J92" s="15" t="s">
        <v>16</v>
      </c>
      <c r="K92" s="44"/>
      <c r="L92" s="44"/>
      <c r="M92" s="56"/>
      <c r="N92" s="17"/>
      <c r="O92" s="13"/>
      <c r="P92" s="26"/>
      <c r="Q92" s="41"/>
      <c r="R92" s="26"/>
      <c r="S92" s="27"/>
    </row>
    <row r="93" spans="1:19" s="1" customFormat="1" ht="15" x14ac:dyDescent="0.4">
      <c r="A93" s="46">
        <v>70</v>
      </c>
      <c r="B93" s="46" t="s">
        <v>118</v>
      </c>
      <c r="C93" s="46" t="s">
        <v>119</v>
      </c>
      <c r="D93" s="46">
        <v>12.38</v>
      </c>
      <c r="E93" s="46">
        <v>11.73</v>
      </c>
      <c r="F93" s="46">
        <v>11.44</v>
      </c>
      <c r="G93" s="46" t="s">
        <v>16</v>
      </c>
      <c r="H93" s="52"/>
      <c r="I93" s="46">
        <v>2.8</v>
      </c>
      <c r="J93" s="46">
        <v>2.14</v>
      </c>
      <c r="K93" s="44"/>
      <c r="L93" s="44"/>
      <c r="M93" s="56"/>
      <c r="N93" s="59">
        <f>M94/(H107-Q124)*100/36</f>
        <v>3.743752402921952</v>
      </c>
      <c r="O93" s="66" t="s">
        <v>174</v>
      </c>
      <c r="P93" s="26"/>
      <c r="Q93" s="41"/>
      <c r="R93" s="26"/>
      <c r="S93" s="27"/>
    </row>
    <row r="94" spans="1:19" s="1" customFormat="1" ht="15" x14ac:dyDescent="0.4">
      <c r="A94" s="46"/>
      <c r="B94" s="46"/>
      <c r="C94" s="46"/>
      <c r="D94" s="46"/>
      <c r="E94" s="46"/>
      <c r="F94" s="46"/>
      <c r="G94" s="46"/>
      <c r="H94" s="52"/>
      <c r="I94" s="46"/>
      <c r="J94" s="46"/>
      <c r="K94" s="44">
        <v>30</v>
      </c>
      <c r="L94" s="44">
        <v>22.21</v>
      </c>
      <c r="M94" s="56">
        <v>7.79</v>
      </c>
      <c r="N94" s="60"/>
      <c r="O94" s="67"/>
      <c r="P94" s="26"/>
      <c r="Q94" s="41"/>
      <c r="R94" s="26"/>
      <c r="S94" s="27"/>
    </row>
    <row r="95" spans="1:19" s="1" customFormat="1" ht="15" hidden="1" customHeight="1" x14ac:dyDescent="0.4">
      <c r="A95" s="15">
        <v>71</v>
      </c>
      <c r="B95" s="10" t="s">
        <v>120</v>
      </c>
      <c r="C95" s="46"/>
      <c r="D95" s="46"/>
      <c r="E95" s="46"/>
      <c r="F95" s="15" t="s">
        <v>16</v>
      </c>
      <c r="G95" s="15">
        <v>11.37</v>
      </c>
      <c r="H95" s="36"/>
      <c r="I95" s="15"/>
      <c r="J95" s="15" t="s">
        <v>16</v>
      </c>
      <c r="K95" s="44"/>
      <c r="L95" s="44"/>
      <c r="M95" s="56"/>
      <c r="N95" s="17"/>
      <c r="O95" s="13"/>
      <c r="P95" s="26"/>
      <c r="Q95" s="41"/>
      <c r="R95" s="26"/>
      <c r="S95" s="27"/>
    </row>
    <row r="96" spans="1:19" s="1" customFormat="1" ht="15" hidden="1" customHeight="1" x14ac:dyDescent="0.4">
      <c r="A96" s="15">
        <v>72</v>
      </c>
      <c r="B96" s="10" t="s">
        <v>121</v>
      </c>
      <c r="C96" s="46" t="s">
        <v>122</v>
      </c>
      <c r="D96" s="46">
        <v>11.61</v>
      </c>
      <c r="E96" s="46">
        <v>11.36</v>
      </c>
      <c r="F96" s="15">
        <v>11.14</v>
      </c>
      <c r="G96" s="15" t="s">
        <v>16</v>
      </c>
      <c r="H96" s="36"/>
      <c r="I96" s="15"/>
      <c r="J96" s="15">
        <v>2.29</v>
      </c>
      <c r="K96" s="44"/>
      <c r="L96" s="44"/>
      <c r="M96" s="56"/>
      <c r="N96" s="17"/>
      <c r="O96" s="13"/>
      <c r="P96" s="26"/>
      <c r="Q96" s="41"/>
      <c r="R96" s="26"/>
      <c r="S96" s="27"/>
    </row>
    <row r="97" spans="1:19" s="1" customFormat="1" ht="15" hidden="1" customHeight="1" x14ac:dyDescent="0.4">
      <c r="A97" s="15">
        <v>73</v>
      </c>
      <c r="B97" s="10" t="s">
        <v>123</v>
      </c>
      <c r="C97" s="50"/>
      <c r="D97" s="50"/>
      <c r="E97" s="50"/>
      <c r="F97" s="15" t="s">
        <v>16</v>
      </c>
      <c r="G97" s="15">
        <v>11.07</v>
      </c>
      <c r="H97" s="36"/>
      <c r="I97" s="15"/>
      <c r="J97" s="15" t="s">
        <v>16</v>
      </c>
      <c r="K97" s="44"/>
      <c r="L97" s="44"/>
      <c r="M97" s="56"/>
      <c r="N97" s="17"/>
      <c r="O97" s="13"/>
      <c r="P97" s="26"/>
      <c r="Q97" s="41"/>
      <c r="R97" s="26"/>
      <c r="S97" s="27"/>
    </row>
    <row r="98" spans="1:19" s="1" customFormat="1" ht="15" x14ac:dyDescent="0.4">
      <c r="A98" s="46">
        <v>74</v>
      </c>
      <c r="B98" s="46" t="s">
        <v>124</v>
      </c>
      <c r="C98" s="46" t="s">
        <v>125</v>
      </c>
      <c r="D98" s="46">
        <v>11.31</v>
      </c>
      <c r="E98" s="46">
        <v>11.06</v>
      </c>
      <c r="F98" s="46">
        <v>10.99</v>
      </c>
      <c r="G98" s="46" t="s">
        <v>16</v>
      </c>
      <c r="H98" s="52"/>
      <c r="I98" s="46">
        <v>2.7</v>
      </c>
      <c r="J98" s="46">
        <v>2.44</v>
      </c>
      <c r="K98" s="44"/>
      <c r="L98" s="44"/>
      <c r="M98" s="56"/>
      <c r="N98" s="59">
        <f>M99/(H107-Q124)*100/36</f>
        <v>0.2162629757785467</v>
      </c>
      <c r="O98" s="66" t="s">
        <v>173</v>
      </c>
      <c r="P98" s="26"/>
      <c r="Q98" s="41"/>
      <c r="R98" s="26"/>
      <c r="S98" s="27"/>
    </row>
    <row r="99" spans="1:19" s="1" customFormat="1" ht="15" x14ac:dyDescent="0.4">
      <c r="A99" s="46"/>
      <c r="B99" s="46"/>
      <c r="C99" s="46"/>
      <c r="D99" s="46"/>
      <c r="E99" s="46"/>
      <c r="F99" s="46"/>
      <c r="G99" s="46"/>
      <c r="H99" s="52"/>
      <c r="I99" s="46"/>
      <c r="J99" s="46"/>
      <c r="K99" s="44">
        <v>3.8</v>
      </c>
      <c r="L99" s="44">
        <f>K99-M99</f>
        <v>3.3499999999999996</v>
      </c>
      <c r="M99" s="56">
        <v>0.45</v>
      </c>
      <c r="N99" s="60"/>
      <c r="O99" s="67"/>
      <c r="P99" s="26"/>
      <c r="Q99" s="41"/>
      <c r="R99" s="26"/>
      <c r="S99" s="27"/>
    </row>
    <row r="100" spans="1:19" s="1" customFormat="1" ht="15" hidden="1" customHeight="1" x14ac:dyDescent="0.4">
      <c r="A100" s="15">
        <v>75</v>
      </c>
      <c r="B100" s="10" t="s">
        <v>126</v>
      </c>
      <c r="C100" s="46"/>
      <c r="D100" s="46"/>
      <c r="E100" s="46"/>
      <c r="F100" s="15" t="s">
        <v>16</v>
      </c>
      <c r="G100" s="15">
        <v>10.97</v>
      </c>
      <c r="H100" s="36"/>
      <c r="I100" s="15"/>
      <c r="J100" s="15" t="s">
        <v>16</v>
      </c>
      <c r="K100" s="44"/>
      <c r="L100" s="44"/>
      <c r="M100" s="56"/>
      <c r="N100" s="17"/>
      <c r="O100" s="13"/>
      <c r="P100" s="26"/>
      <c r="Q100" s="41"/>
      <c r="R100" s="26"/>
      <c r="S100" s="27"/>
    </row>
    <row r="101" spans="1:19" s="1" customFormat="1" ht="15" x14ac:dyDescent="0.4">
      <c r="A101" s="46">
        <v>76</v>
      </c>
      <c r="B101" s="46" t="s">
        <v>127</v>
      </c>
      <c r="C101" s="46" t="s">
        <v>128</v>
      </c>
      <c r="D101" s="46">
        <v>10.85</v>
      </c>
      <c r="E101" s="46">
        <v>10.64</v>
      </c>
      <c r="F101" s="46">
        <v>10.77</v>
      </c>
      <c r="G101" s="46" t="s">
        <v>16</v>
      </c>
      <c r="H101" s="52"/>
      <c r="I101" s="46">
        <v>2.7</v>
      </c>
      <c r="J101" s="46">
        <v>2.68</v>
      </c>
      <c r="K101" s="44"/>
      <c r="L101" s="44"/>
      <c r="M101" s="56"/>
      <c r="N101" s="59">
        <f>M102/(H107-Q124)*100/36</f>
        <v>0.30757400999615525</v>
      </c>
      <c r="O101" s="66" t="s">
        <v>172</v>
      </c>
      <c r="P101" s="26"/>
      <c r="Q101" s="41"/>
      <c r="R101" s="26"/>
      <c r="S101" s="27"/>
    </row>
    <row r="102" spans="1:19" s="1" customFormat="1" ht="15" x14ac:dyDescent="0.4">
      <c r="A102" s="46"/>
      <c r="B102" s="46"/>
      <c r="C102" s="46"/>
      <c r="D102" s="46"/>
      <c r="E102" s="46"/>
      <c r="F102" s="46"/>
      <c r="G102" s="46"/>
      <c r="H102" s="52"/>
      <c r="I102" s="46"/>
      <c r="J102" s="46"/>
      <c r="K102" s="44">
        <v>16.36</v>
      </c>
      <c r="L102" s="44">
        <f>K102-M102</f>
        <v>15.719999999999999</v>
      </c>
      <c r="M102" s="56">
        <v>0.64</v>
      </c>
      <c r="N102" s="60"/>
      <c r="O102" s="67"/>
      <c r="P102" s="26"/>
      <c r="Q102" s="41"/>
      <c r="R102" s="26"/>
      <c r="S102" s="27"/>
    </row>
    <row r="103" spans="1:19" s="1" customFormat="1" ht="15" hidden="1" customHeight="1" x14ac:dyDescent="0.4">
      <c r="A103" s="15">
        <v>77</v>
      </c>
      <c r="B103" s="10" t="s">
        <v>127</v>
      </c>
      <c r="C103" s="46"/>
      <c r="D103" s="46"/>
      <c r="E103" s="46"/>
      <c r="F103" s="15" t="s">
        <v>16</v>
      </c>
      <c r="G103" s="15">
        <v>10.57</v>
      </c>
      <c r="H103" s="36"/>
      <c r="I103" s="15"/>
      <c r="J103" s="15" t="s">
        <v>16</v>
      </c>
      <c r="K103" s="44"/>
      <c r="L103" s="44"/>
      <c r="M103" s="56"/>
      <c r="N103" s="17"/>
      <c r="O103" s="13"/>
      <c r="P103" s="26"/>
      <c r="Q103" s="41"/>
      <c r="R103" s="26"/>
      <c r="S103" s="27"/>
    </row>
    <row r="104" spans="1:19" s="1" customFormat="1" ht="15" x14ac:dyDescent="0.4">
      <c r="A104" s="46">
        <v>78</v>
      </c>
      <c r="B104" s="46" t="s">
        <v>129</v>
      </c>
      <c r="C104" s="46" t="s">
        <v>130</v>
      </c>
      <c r="D104" s="46">
        <v>10.43</v>
      </c>
      <c r="E104" s="46">
        <v>10.220000000000001</v>
      </c>
      <c r="F104" s="46">
        <v>10.32</v>
      </c>
      <c r="G104" s="46" t="s">
        <v>16</v>
      </c>
      <c r="H104" s="52"/>
      <c r="I104" s="46">
        <v>2.7</v>
      </c>
      <c r="J104" s="46">
        <v>2.68</v>
      </c>
      <c r="K104" s="44"/>
      <c r="L104" s="44"/>
      <c r="M104" s="56"/>
      <c r="N104" s="59">
        <f>M105/(H107-Q124)*100/36</f>
        <v>0.24990388312187617</v>
      </c>
      <c r="O104" s="66" t="s">
        <v>171</v>
      </c>
      <c r="P104" s="26"/>
      <c r="Q104" s="41"/>
      <c r="R104" s="26"/>
      <c r="S104" s="27"/>
    </row>
    <row r="105" spans="1:19" s="1" customFormat="1" ht="15" x14ac:dyDescent="0.4">
      <c r="A105" s="46"/>
      <c r="B105" s="46"/>
      <c r="C105" s="46"/>
      <c r="D105" s="46"/>
      <c r="E105" s="46"/>
      <c r="F105" s="46"/>
      <c r="G105" s="46"/>
      <c r="H105" s="52"/>
      <c r="I105" s="46"/>
      <c r="J105" s="46"/>
      <c r="K105" s="44">
        <v>15.98</v>
      </c>
      <c r="L105" s="44">
        <f>K105-M105</f>
        <v>15.46</v>
      </c>
      <c r="M105" s="56">
        <v>0.52</v>
      </c>
      <c r="N105" s="60"/>
      <c r="O105" s="67"/>
      <c r="P105" s="26"/>
      <c r="Q105" s="41"/>
      <c r="R105" s="26"/>
      <c r="S105" s="27"/>
    </row>
    <row r="106" spans="1:19" s="1" customFormat="1" ht="15" hidden="1" customHeight="1" x14ac:dyDescent="0.4">
      <c r="A106" s="15">
        <v>79</v>
      </c>
      <c r="B106" s="10" t="s">
        <v>131</v>
      </c>
      <c r="C106" s="46"/>
      <c r="D106" s="46"/>
      <c r="E106" s="46"/>
      <c r="F106" s="15" t="s">
        <v>16</v>
      </c>
      <c r="G106" s="15">
        <v>10.199999999999999</v>
      </c>
      <c r="H106" s="36"/>
      <c r="I106" s="15"/>
      <c r="J106" s="15" t="s">
        <v>16</v>
      </c>
      <c r="K106" s="44"/>
      <c r="L106" s="44"/>
      <c r="M106" s="56"/>
      <c r="N106" s="17"/>
      <c r="O106" s="13"/>
      <c r="P106" s="26"/>
      <c r="Q106" s="41"/>
      <c r="R106" s="26"/>
      <c r="S106" s="27"/>
    </row>
    <row r="107" spans="1:19" s="1" customFormat="1" ht="15" x14ac:dyDescent="0.4">
      <c r="A107" s="46">
        <v>80</v>
      </c>
      <c r="B107" s="46" t="s">
        <v>132</v>
      </c>
      <c r="C107" s="46" t="s">
        <v>133</v>
      </c>
      <c r="D107" s="46">
        <v>9.65</v>
      </c>
      <c r="E107" s="46">
        <v>9.51</v>
      </c>
      <c r="F107" s="46">
        <v>9.4600000000000009</v>
      </c>
      <c r="G107" s="46" t="s">
        <v>16</v>
      </c>
      <c r="H107" s="52">
        <v>26.28</v>
      </c>
      <c r="I107" s="46">
        <v>2.6</v>
      </c>
      <c r="J107" s="46">
        <v>1.85</v>
      </c>
      <c r="K107" s="44"/>
      <c r="L107" s="44"/>
      <c r="M107" s="56"/>
      <c r="N107" s="59">
        <f>M108/(H107-Q124)*10000/60/60</f>
        <v>0.4421376393694732</v>
      </c>
      <c r="O107" s="66" t="s">
        <v>170</v>
      </c>
      <c r="P107" s="26"/>
      <c r="Q107" s="41"/>
      <c r="R107" s="26"/>
      <c r="S107" s="27"/>
    </row>
    <row r="108" spans="1:19" s="1" customFormat="1" ht="15" x14ac:dyDescent="0.4">
      <c r="A108" s="46"/>
      <c r="B108" s="46"/>
      <c r="C108" s="46"/>
      <c r="D108" s="46"/>
      <c r="E108" s="46"/>
      <c r="F108" s="46"/>
      <c r="G108" s="46"/>
      <c r="H108" s="52"/>
      <c r="I108" s="46"/>
      <c r="J108" s="46"/>
      <c r="K108" s="44">
        <v>19.53</v>
      </c>
      <c r="L108" s="44">
        <f>K108-M108</f>
        <v>18.61</v>
      </c>
      <c r="M108" s="56">
        <v>0.92</v>
      </c>
      <c r="N108" s="60"/>
      <c r="O108" s="67"/>
      <c r="P108" s="26"/>
      <c r="Q108" s="41"/>
      <c r="R108" s="26"/>
      <c r="S108" s="27"/>
    </row>
    <row r="109" spans="1:19" s="1" customFormat="1" ht="15" hidden="1" customHeight="1" x14ac:dyDescent="0.4">
      <c r="A109" s="15">
        <v>81</v>
      </c>
      <c r="B109" s="10" t="s">
        <v>134</v>
      </c>
      <c r="C109" s="46"/>
      <c r="D109" s="46"/>
      <c r="E109" s="46"/>
      <c r="F109" s="15" t="s">
        <v>16</v>
      </c>
      <c r="G109" s="15">
        <v>9.3000000000000007</v>
      </c>
      <c r="H109" s="36"/>
      <c r="I109" s="15"/>
      <c r="J109" s="15" t="s">
        <v>16</v>
      </c>
      <c r="K109" s="44"/>
      <c r="L109" s="44"/>
      <c r="M109" s="56"/>
      <c r="N109" s="17"/>
      <c r="O109" s="13"/>
      <c r="P109" s="26"/>
      <c r="Q109" s="41"/>
      <c r="R109" s="26"/>
      <c r="S109" s="27"/>
    </row>
    <row r="110" spans="1:19" s="1" customFormat="1" ht="15" x14ac:dyDescent="0.4">
      <c r="A110" s="46">
        <v>82</v>
      </c>
      <c r="B110" s="46" t="s">
        <v>135</v>
      </c>
      <c r="C110" s="46" t="s">
        <v>136</v>
      </c>
      <c r="D110" s="46">
        <v>9.01</v>
      </c>
      <c r="E110" s="46">
        <v>8.91</v>
      </c>
      <c r="F110" s="46">
        <v>8.69</v>
      </c>
      <c r="G110" s="46" t="s">
        <v>16</v>
      </c>
      <c r="H110" s="53"/>
      <c r="I110" s="46">
        <v>1.91</v>
      </c>
      <c r="J110" s="46">
        <v>1.83</v>
      </c>
      <c r="K110" s="44"/>
      <c r="L110" s="44"/>
      <c r="M110" s="56"/>
      <c r="N110" s="59">
        <f>M111/(H131-Q124)*10000/60/60</f>
        <v>0.41601153039832284</v>
      </c>
      <c r="O110" s="66" t="s">
        <v>169</v>
      </c>
      <c r="P110" s="26"/>
      <c r="Q110" s="41"/>
      <c r="R110" s="26"/>
      <c r="S110" s="27"/>
    </row>
    <row r="111" spans="1:19" s="1" customFormat="1" ht="15" x14ac:dyDescent="0.4">
      <c r="A111" s="46"/>
      <c r="B111" s="46"/>
      <c r="C111" s="46"/>
      <c r="D111" s="46"/>
      <c r="E111" s="49"/>
      <c r="F111" s="46"/>
      <c r="G111" s="46"/>
      <c r="H111" s="53"/>
      <c r="I111" s="46"/>
      <c r="J111" s="46"/>
      <c r="K111" s="44">
        <v>9.17</v>
      </c>
      <c r="L111" s="44">
        <f>K111-M111</f>
        <v>7.9</v>
      </c>
      <c r="M111" s="56">
        <v>1.27</v>
      </c>
      <c r="N111" s="60"/>
      <c r="O111" s="67"/>
      <c r="P111" s="26"/>
      <c r="Q111" s="41"/>
      <c r="R111" s="26"/>
      <c r="S111" s="27"/>
    </row>
    <row r="112" spans="1:19" s="1" customFormat="1" ht="15" hidden="1" customHeight="1" x14ac:dyDescent="0.4">
      <c r="A112" s="15">
        <v>83</v>
      </c>
      <c r="B112" s="10" t="s">
        <v>137</v>
      </c>
      <c r="C112" s="46"/>
      <c r="D112" s="46"/>
      <c r="E112" s="9"/>
      <c r="F112" s="15" t="s">
        <v>16</v>
      </c>
      <c r="G112" s="15">
        <v>8.67</v>
      </c>
      <c r="H112" s="36"/>
      <c r="I112" s="15"/>
      <c r="J112" s="15" t="s">
        <v>16</v>
      </c>
      <c r="K112" s="44"/>
      <c r="L112" s="44"/>
      <c r="M112" s="56"/>
      <c r="N112" s="17"/>
      <c r="O112" s="13"/>
      <c r="P112" s="26"/>
      <c r="Q112" s="41"/>
      <c r="R112" s="26"/>
      <c r="S112" s="27"/>
    </row>
    <row r="113" spans="1:19" s="1" customFormat="1" ht="15" x14ac:dyDescent="0.4">
      <c r="A113" s="46">
        <v>84</v>
      </c>
      <c r="B113" s="46" t="s">
        <v>60</v>
      </c>
      <c r="C113" s="46" t="s">
        <v>138</v>
      </c>
      <c r="D113" s="46">
        <v>8.1999999999999993</v>
      </c>
      <c r="E113" s="46">
        <v>7.87</v>
      </c>
      <c r="F113" s="46">
        <v>7.69</v>
      </c>
      <c r="G113" s="46" t="s">
        <v>16</v>
      </c>
      <c r="H113" s="52"/>
      <c r="I113" s="46">
        <v>3.15</v>
      </c>
      <c r="J113" s="46">
        <v>1.46</v>
      </c>
      <c r="K113" s="44"/>
      <c r="L113" s="44"/>
      <c r="M113" s="56"/>
      <c r="N113" s="59">
        <f>M114/(H131-Q124)*10000/60/60</f>
        <v>1.8802410901467506</v>
      </c>
      <c r="O113" s="66" t="s">
        <v>168</v>
      </c>
      <c r="P113" s="26"/>
      <c r="Q113" s="41"/>
      <c r="R113" s="26"/>
      <c r="S113" s="27"/>
    </row>
    <row r="114" spans="1:19" s="1" customFormat="1" ht="15" x14ac:dyDescent="0.4">
      <c r="A114" s="46"/>
      <c r="B114" s="46"/>
      <c r="C114" s="46"/>
      <c r="D114" s="46"/>
      <c r="E114" s="46"/>
      <c r="F114" s="46"/>
      <c r="G114" s="46"/>
      <c r="H114" s="52"/>
      <c r="I114" s="46"/>
      <c r="J114" s="46"/>
      <c r="K114" s="44">
        <v>17.96</v>
      </c>
      <c r="L114" s="44">
        <f>K114-M114</f>
        <v>12.22</v>
      </c>
      <c r="M114" s="56">
        <v>5.74</v>
      </c>
      <c r="N114" s="60"/>
      <c r="O114" s="67"/>
      <c r="P114" s="26"/>
      <c r="Q114" s="41"/>
      <c r="R114" s="26"/>
      <c r="S114" s="27"/>
    </row>
    <row r="115" spans="1:19" s="1" customFormat="1" ht="15" hidden="1" customHeight="1" x14ac:dyDescent="0.4">
      <c r="A115" s="15">
        <v>85</v>
      </c>
      <c r="B115" s="10" t="s">
        <v>62</v>
      </c>
      <c r="C115" s="46"/>
      <c r="D115" s="46"/>
      <c r="E115" s="46"/>
      <c r="F115" s="15" t="s">
        <v>16</v>
      </c>
      <c r="G115" s="15">
        <v>7.64</v>
      </c>
      <c r="H115" s="36"/>
      <c r="I115" s="15"/>
      <c r="J115" s="15" t="s">
        <v>16</v>
      </c>
      <c r="K115" s="44"/>
      <c r="L115" s="44"/>
      <c r="M115" s="56"/>
      <c r="N115" s="17"/>
      <c r="O115" s="13"/>
      <c r="P115" s="28"/>
      <c r="Q115" s="42"/>
      <c r="R115" s="26"/>
      <c r="S115" s="27"/>
    </row>
    <row r="116" spans="1:19" s="1" customFormat="1" ht="15" x14ac:dyDescent="0.4">
      <c r="A116" s="46">
        <v>86</v>
      </c>
      <c r="B116" s="46" t="s">
        <v>139</v>
      </c>
      <c r="C116" s="46" t="s">
        <v>140</v>
      </c>
      <c r="D116" s="46">
        <v>7.37</v>
      </c>
      <c r="E116" s="46">
        <v>6.4</v>
      </c>
      <c r="F116" s="46">
        <v>6.97</v>
      </c>
      <c r="G116" s="46" t="s">
        <v>16</v>
      </c>
      <c r="H116" s="52"/>
      <c r="I116" s="46" t="s">
        <v>141</v>
      </c>
      <c r="J116" s="46">
        <v>1.98</v>
      </c>
      <c r="K116" s="44"/>
      <c r="L116" s="44"/>
      <c r="M116" s="56"/>
      <c r="N116" s="59">
        <f>M117/(H131-Q124)*10000/60/60</f>
        <v>0.56014150943396224</v>
      </c>
      <c r="O116" s="66" t="s">
        <v>167</v>
      </c>
      <c r="P116" s="28"/>
      <c r="Q116" s="42"/>
      <c r="R116" s="26"/>
      <c r="S116" s="27"/>
    </row>
    <row r="117" spans="1:19" s="1" customFormat="1" ht="15" x14ac:dyDescent="0.4">
      <c r="A117" s="46"/>
      <c r="B117" s="46"/>
      <c r="C117" s="46"/>
      <c r="D117" s="46"/>
      <c r="E117" s="46"/>
      <c r="F117" s="46"/>
      <c r="G117" s="46"/>
      <c r="H117" s="52"/>
      <c r="I117" s="46"/>
      <c r="J117" s="46"/>
      <c r="K117" s="44">
        <v>11.63</v>
      </c>
      <c r="L117" s="44">
        <v>9.92</v>
      </c>
      <c r="M117" s="56">
        <v>1.71</v>
      </c>
      <c r="N117" s="60"/>
      <c r="O117" s="67"/>
      <c r="P117" s="28"/>
      <c r="Q117" s="42"/>
      <c r="R117" s="26"/>
      <c r="S117" s="27"/>
    </row>
    <row r="118" spans="1:19" s="1" customFormat="1" ht="24" hidden="1" customHeight="1" x14ac:dyDescent="0.4">
      <c r="A118" s="15">
        <v>87</v>
      </c>
      <c r="B118" s="10" t="s">
        <v>142</v>
      </c>
      <c r="C118" s="46"/>
      <c r="D118" s="46"/>
      <c r="E118" s="46"/>
      <c r="F118" s="15" t="s">
        <v>16</v>
      </c>
      <c r="G118" s="15"/>
      <c r="H118" s="36"/>
      <c r="I118" s="15"/>
      <c r="J118" s="15" t="s">
        <v>16</v>
      </c>
      <c r="K118" s="44"/>
      <c r="L118" s="44"/>
      <c r="M118" s="56"/>
      <c r="N118" s="17"/>
      <c r="O118" s="13"/>
      <c r="P118" s="28"/>
      <c r="Q118" s="42"/>
      <c r="R118" s="26"/>
      <c r="S118" s="27"/>
    </row>
    <row r="119" spans="1:19" s="1" customFormat="1" ht="34.049999999999997" hidden="1" customHeight="1" x14ac:dyDescent="0.4">
      <c r="A119" s="15">
        <v>88</v>
      </c>
      <c r="B119" s="10" t="s">
        <v>143</v>
      </c>
      <c r="C119" s="15" t="s">
        <v>144</v>
      </c>
      <c r="D119" s="15">
        <v>7.59</v>
      </c>
      <c r="E119" s="15">
        <v>6.52</v>
      </c>
      <c r="F119" s="15">
        <v>6.52</v>
      </c>
      <c r="G119" s="15" t="s">
        <v>16</v>
      </c>
      <c r="H119" s="36"/>
      <c r="I119" s="15"/>
      <c r="J119" s="15"/>
      <c r="K119" s="44"/>
      <c r="L119" s="44"/>
      <c r="M119" s="56"/>
      <c r="N119" s="17"/>
      <c r="O119" s="13"/>
      <c r="P119" s="28"/>
      <c r="Q119" s="42"/>
      <c r="R119" s="26"/>
      <c r="S119" s="27"/>
    </row>
    <row r="120" spans="1:19" s="1" customFormat="1" ht="23" hidden="1" customHeight="1" x14ac:dyDescent="0.4">
      <c r="A120" s="15">
        <v>89</v>
      </c>
      <c r="B120" s="10" t="s">
        <v>145</v>
      </c>
      <c r="C120" s="15" t="s">
        <v>144</v>
      </c>
      <c r="D120" s="15">
        <v>7.59</v>
      </c>
      <c r="E120" s="15">
        <v>6.52</v>
      </c>
      <c r="F120" s="15" t="s">
        <v>16</v>
      </c>
      <c r="G120" s="15">
        <v>6.26</v>
      </c>
      <c r="H120" s="36"/>
      <c r="I120" s="15"/>
      <c r="J120" s="15" t="s">
        <v>16</v>
      </c>
      <c r="K120" s="44"/>
      <c r="L120" s="44"/>
      <c r="M120" s="56"/>
      <c r="N120" s="17"/>
      <c r="O120" s="13"/>
      <c r="P120" s="26"/>
      <c r="Q120" s="41"/>
      <c r="R120" s="26"/>
      <c r="S120" s="27"/>
    </row>
    <row r="121" spans="1:19" s="1" customFormat="1" ht="15" x14ac:dyDescent="0.4">
      <c r="A121" s="15">
        <v>90</v>
      </c>
      <c r="B121" s="15" t="s">
        <v>146</v>
      </c>
      <c r="C121" s="46" t="s">
        <v>147</v>
      </c>
      <c r="D121" s="46">
        <v>5.85</v>
      </c>
      <c r="E121" s="15"/>
      <c r="F121" s="15">
        <v>5.59</v>
      </c>
      <c r="G121" s="15"/>
      <c r="H121" s="36"/>
      <c r="I121" s="15">
        <v>2.2000000000000002</v>
      </c>
      <c r="J121" s="15">
        <v>1.77</v>
      </c>
      <c r="K121" s="44"/>
      <c r="L121" s="44"/>
      <c r="M121" s="56"/>
      <c r="N121" s="17"/>
      <c r="O121" s="33" t="s">
        <v>211</v>
      </c>
      <c r="P121" s="26"/>
      <c r="Q121" s="41"/>
      <c r="R121" s="26"/>
      <c r="S121" s="27"/>
    </row>
    <row r="122" spans="1:19" s="1" customFormat="1" ht="15" hidden="1" customHeight="1" x14ac:dyDescent="0.4">
      <c r="A122" s="15">
        <v>91</v>
      </c>
      <c r="B122" s="10" t="s">
        <v>148</v>
      </c>
      <c r="C122" s="46"/>
      <c r="D122" s="46"/>
      <c r="E122" s="13"/>
      <c r="F122" s="15" t="s">
        <v>16</v>
      </c>
      <c r="G122" s="15">
        <v>5.54</v>
      </c>
      <c r="H122" s="36"/>
      <c r="I122" s="15"/>
      <c r="J122" s="15" t="s">
        <v>16</v>
      </c>
      <c r="K122" s="44"/>
      <c r="L122" s="44"/>
      <c r="M122" s="56"/>
      <c r="N122" s="17"/>
      <c r="O122" s="13"/>
      <c r="P122" s="26"/>
      <c r="Q122" s="41"/>
      <c r="R122" s="26"/>
      <c r="S122" s="27"/>
    </row>
    <row r="123" spans="1:19" s="1" customFormat="1" ht="15" x14ac:dyDescent="0.4">
      <c r="A123" s="46">
        <v>92</v>
      </c>
      <c r="B123" s="46" t="s">
        <v>149</v>
      </c>
      <c r="C123" s="46" t="s">
        <v>150</v>
      </c>
      <c r="D123" s="46">
        <v>5.21</v>
      </c>
      <c r="E123" s="46">
        <v>4.79</v>
      </c>
      <c r="F123" s="46">
        <v>4.92</v>
      </c>
      <c r="G123" s="46" t="s">
        <v>16</v>
      </c>
      <c r="H123" s="52"/>
      <c r="I123" s="46">
        <v>2.2000000000000002</v>
      </c>
      <c r="J123" s="46">
        <v>1.69</v>
      </c>
      <c r="K123" s="44"/>
      <c r="L123" s="44"/>
      <c r="M123" s="56"/>
      <c r="N123" s="59">
        <f>M124/(H131-Q131)*10000/60/60</f>
        <v>-0.26750972762645914</v>
      </c>
      <c r="O123" s="66" t="s">
        <v>166</v>
      </c>
      <c r="P123" s="26"/>
      <c r="Q123" s="41"/>
      <c r="R123" s="26"/>
      <c r="S123" s="27"/>
    </row>
    <row r="124" spans="1:19" s="1" customFormat="1" ht="15" x14ac:dyDescent="0.4">
      <c r="A124" s="46"/>
      <c r="B124" s="46"/>
      <c r="C124" s="46"/>
      <c r="D124" s="46"/>
      <c r="E124" s="46"/>
      <c r="F124" s="46"/>
      <c r="G124" s="46"/>
      <c r="H124" s="52"/>
      <c r="I124" s="46"/>
      <c r="J124" s="46"/>
      <c r="K124" s="44">
        <v>9.16</v>
      </c>
      <c r="L124" s="50">
        <v>10.15</v>
      </c>
      <c r="M124" s="56">
        <v>-0.99</v>
      </c>
      <c r="N124" s="60"/>
      <c r="O124" s="67"/>
      <c r="P124" s="26"/>
      <c r="Q124" s="41">
        <v>20.5</v>
      </c>
      <c r="R124" s="26"/>
      <c r="S124" s="27"/>
    </row>
    <row r="125" spans="1:19" s="1" customFormat="1" ht="15" hidden="1" customHeight="1" x14ac:dyDescent="0.4">
      <c r="A125" s="15">
        <v>93</v>
      </c>
      <c r="B125" s="10" t="s">
        <v>151</v>
      </c>
      <c r="C125" s="46"/>
      <c r="D125" s="46"/>
      <c r="E125" s="46"/>
      <c r="F125" s="15" t="s">
        <v>16</v>
      </c>
      <c r="G125" s="15">
        <v>4.8499999999999996</v>
      </c>
      <c r="H125" s="36"/>
      <c r="I125" s="15"/>
      <c r="J125" s="15" t="s">
        <v>16</v>
      </c>
      <c r="K125" s="44"/>
      <c r="L125" s="50"/>
      <c r="M125" s="56"/>
      <c r="N125" s="17"/>
      <c r="O125" s="13"/>
      <c r="P125" s="26"/>
      <c r="Q125" s="41"/>
      <c r="R125" s="26"/>
      <c r="S125" s="27"/>
    </row>
    <row r="126" spans="1:19" s="1" customFormat="1" ht="15" hidden="1" customHeight="1" x14ac:dyDescent="0.4">
      <c r="A126" s="15">
        <v>94</v>
      </c>
      <c r="B126" s="10" t="s">
        <v>152</v>
      </c>
      <c r="C126" s="46" t="s">
        <v>153</v>
      </c>
      <c r="D126" s="46">
        <v>5.9</v>
      </c>
      <c r="E126" s="46">
        <v>5.8</v>
      </c>
      <c r="F126" s="15"/>
      <c r="G126" s="15" t="s">
        <v>16</v>
      </c>
      <c r="H126" s="36"/>
      <c r="I126" s="15"/>
      <c r="J126" s="15"/>
      <c r="K126" s="44"/>
      <c r="L126" s="50"/>
      <c r="M126" s="56"/>
      <c r="N126" s="17"/>
      <c r="O126" s="13"/>
      <c r="P126" s="26"/>
      <c r="Q126" s="41"/>
      <c r="R126" s="26"/>
      <c r="S126" s="27"/>
    </row>
    <row r="127" spans="1:19" s="1" customFormat="1" ht="15" hidden="1" customHeight="1" x14ac:dyDescent="0.4">
      <c r="A127" s="15">
        <v>95</v>
      </c>
      <c r="B127" s="10" t="s">
        <v>154</v>
      </c>
      <c r="C127" s="50"/>
      <c r="D127" s="50"/>
      <c r="E127" s="50"/>
      <c r="F127" s="15" t="s">
        <v>16</v>
      </c>
      <c r="G127" s="15">
        <v>4.7699999999999996</v>
      </c>
      <c r="H127" s="36"/>
      <c r="I127" s="15"/>
      <c r="J127" s="15" t="s">
        <v>16</v>
      </c>
      <c r="K127" s="44"/>
      <c r="L127" s="50"/>
      <c r="M127" s="56"/>
      <c r="N127" s="17"/>
      <c r="O127" s="13"/>
      <c r="P127" s="26"/>
      <c r="Q127" s="41"/>
      <c r="R127" s="26"/>
      <c r="S127" s="27"/>
    </row>
    <row r="128" spans="1:19" s="1" customFormat="1" ht="15" hidden="1" customHeight="1" x14ac:dyDescent="0.4">
      <c r="A128" s="15">
        <v>96</v>
      </c>
      <c r="B128" s="10" t="s">
        <v>155</v>
      </c>
      <c r="C128" s="46" t="s">
        <v>156</v>
      </c>
      <c r="D128" s="46">
        <v>4.33</v>
      </c>
      <c r="E128" s="46">
        <v>3.84</v>
      </c>
      <c r="F128" s="15">
        <v>4.37</v>
      </c>
      <c r="G128" s="15" t="s">
        <v>16</v>
      </c>
      <c r="H128" s="36"/>
      <c r="I128" s="15"/>
      <c r="J128" s="15">
        <v>2.36</v>
      </c>
      <c r="K128" s="44"/>
      <c r="L128" s="50"/>
      <c r="M128" s="56"/>
      <c r="N128" s="17"/>
      <c r="O128" s="13"/>
      <c r="P128" s="26"/>
      <c r="Q128" s="41"/>
      <c r="R128" s="26"/>
      <c r="S128" s="27"/>
    </row>
    <row r="129" spans="1:19" s="1" customFormat="1" ht="15" hidden="1" customHeight="1" x14ac:dyDescent="0.4">
      <c r="A129" s="15">
        <v>97</v>
      </c>
      <c r="B129" s="10" t="s">
        <v>157</v>
      </c>
      <c r="C129" s="50"/>
      <c r="D129" s="50"/>
      <c r="E129" s="50"/>
      <c r="F129" s="15" t="s">
        <v>16</v>
      </c>
      <c r="G129" s="15"/>
      <c r="H129" s="36"/>
      <c r="I129" s="15"/>
      <c r="J129" s="15" t="s">
        <v>16</v>
      </c>
      <c r="K129" s="44"/>
      <c r="L129" s="50"/>
      <c r="M129" s="56"/>
      <c r="N129" s="17"/>
      <c r="O129" s="13"/>
      <c r="P129" s="26"/>
      <c r="Q129" s="41"/>
      <c r="R129" s="26"/>
      <c r="S129" s="27"/>
    </row>
    <row r="130" spans="1:19" s="1" customFormat="1" ht="15" x14ac:dyDescent="0.4">
      <c r="A130" s="15">
        <v>98</v>
      </c>
      <c r="B130" s="8" t="s">
        <v>158</v>
      </c>
      <c r="C130" s="13"/>
      <c r="D130" s="13"/>
      <c r="E130" s="13"/>
      <c r="F130" s="15"/>
      <c r="G130" s="15"/>
      <c r="H130" s="36">
        <v>0</v>
      </c>
      <c r="I130" s="15">
        <v>0</v>
      </c>
      <c r="J130" s="15" t="s">
        <v>16</v>
      </c>
      <c r="K130" s="44"/>
      <c r="L130" s="50"/>
      <c r="M130" s="56"/>
      <c r="N130" s="17"/>
      <c r="O130" s="33" t="s">
        <v>205</v>
      </c>
      <c r="P130" s="26"/>
      <c r="Q130" s="41"/>
      <c r="R130" s="26">
        <v>1.8</v>
      </c>
      <c r="S130" s="27"/>
    </row>
    <row r="131" spans="1:19" s="1" customFormat="1" ht="15" x14ac:dyDescent="0.4">
      <c r="A131" s="15">
        <v>99</v>
      </c>
      <c r="B131" s="14" t="s">
        <v>159</v>
      </c>
      <c r="C131" s="15" t="s">
        <v>160</v>
      </c>
      <c r="D131" s="15">
        <v>4.0199999999999996</v>
      </c>
      <c r="E131" s="15">
        <v>12</v>
      </c>
      <c r="F131" s="15">
        <v>4.38</v>
      </c>
      <c r="G131" s="15" t="s">
        <v>16</v>
      </c>
      <c r="H131" s="36">
        <v>28.98</v>
      </c>
      <c r="I131" s="15" t="s">
        <v>16</v>
      </c>
      <c r="J131" s="15">
        <v>2.86</v>
      </c>
      <c r="K131" s="44"/>
      <c r="L131" s="50"/>
      <c r="M131" s="56"/>
      <c r="N131" s="17"/>
      <c r="O131" s="24" t="s">
        <v>165</v>
      </c>
      <c r="P131" s="30"/>
      <c r="Q131" s="41">
        <v>18.7</v>
      </c>
      <c r="R131" s="26"/>
      <c r="S131" s="27"/>
    </row>
    <row r="132" spans="1:19" x14ac:dyDescent="0.3">
      <c r="M132" s="2">
        <f>SUM(M2:M131)</f>
        <v>183.68999999999997</v>
      </c>
      <c r="P132"/>
      <c r="Q132" s="43"/>
    </row>
    <row r="133" spans="1:19" x14ac:dyDescent="0.3">
      <c r="P133"/>
      <c r="Q133" s="43"/>
    </row>
    <row r="134" spans="1:19" x14ac:dyDescent="0.3">
      <c r="P134"/>
      <c r="Q134" s="43"/>
    </row>
  </sheetData>
  <mergeCells count="499">
    <mergeCell ref="O65:O66"/>
    <mergeCell ref="O68:O69"/>
    <mergeCell ref="O71:O72"/>
    <mergeCell ref="O107:O108"/>
    <mergeCell ref="O110:O111"/>
    <mergeCell ref="O113:O114"/>
    <mergeCell ref="O116:O117"/>
    <mergeCell ref="O123:O124"/>
    <mergeCell ref="O75:O76"/>
    <mergeCell ref="O78:O79"/>
    <mergeCell ref="O81:O82"/>
    <mergeCell ref="O86:O87"/>
    <mergeCell ref="O90:O91"/>
    <mergeCell ref="O93:O94"/>
    <mergeCell ref="O98:O99"/>
    <mergeCell ref="O101:O102"/>
    <mergeCell ref="O104:O105"/>
    <mergeCell ref="N48:N49"/>
    <mergeCell ref="N45:N46"/>
    <mergeCell ref="N40:N41"/>
    <mergeCell ref="N35:N36"/>
    <mergeCell ref="N3:N4"/>
    <mergeCell ref="O3:O4"/>
    <mergeCell ref="O6:O7"/>
    <mergeCell ref="O12:O13"/>
    <mergeCell ref="O17:O18"/>
    <mergeCell ref="O25:O26"/>
    <mergeCell ref="O32:O33"/>
    <mergeCell ref="O35:O36"/>
    <mergeCell ref="N32:N33"/>
    <mergeCell ref="N25:N26"/>
    <mergeCell ref="N17:N18"/>
    <mergeCell ref="N12:N13"/>
    <mergeCell ref="N6:N7"/>
    <mergeCell ref="O40:O41"/>
    <mergeCell ref="O45:O46"/>
    <mergeCell ref="O48:O49"/>
    <mergeCell ref="N75:N76"/>
    <mergeCell ref="N71:N72"/>
    <mergeCell ref="N68:N69"/>
    <mergeCell ref="N65:N66"/>
    <mergeCell ref="P76:P78"/>
    <mergeCell ref="Q51:Q52"/>
    <mergeCell ref="Q76:Q78"/>
    <mergeCell ref="Q86:Q87"/>
    <mergeCell ref="N123:N124"/>
    <mergeCell ref="N116:N117"/>
    <mergeCell ref="N113:N114"/>
    <mergeCell ref="N110:N111"/>
    <mergeCell ref="N107:N108"/>
    <mergeCell ref="N104:N105"/>
    <mergeCell ref="N101:N102"/>
    <mergeCell ref="N98:N99"/>
    <mergeCell ref="N93:N94"/>
    <mergeCell ref="N90:N91"/>
    <mergeCell ref="N62:N63"/>
    <mergeCell ref="N58:N59"/>
    <mergeCell ref="N51:N52"/>
    <mergeCell ref="O51:O52"/>
    <mergeCell ref="O58:O59"/>
    <mergeCell ref="O62:O63"/>
    <mergeCell ref="M105:M107"/>
    <mergeCell ref="M108:M110"/>
    <mergeCell ref="M111:M113"/>
    <mergeCell ref="M114:M116"/>
    <mergeCell ref="M117:M123"/>
    <mergeCell ref="M124:M131"/>
    <mergeCell ref="N86:N87"/>
    <mergeCell ref="N81:N82"/>
    <mergeCell ref="N78:N79"/>
    <mergeCell ref="M72:M75"/>
    <mergeCell ref="M76:M78"/>
    <mergeCell ref="M79:M81"/>
    <mergeCell ref="M82:M86"/>
    <mergeCell ref="M87:M90"/>
    <mergeCell ref="M91:M93"/>
    <mergeCell ref="M94:M98"/>
    <mergeCell ref="M99:M101"/>
    <mergeCell ref="M102:M104"/>
    <mergeCell ref="L99:L101"/>
    <mergeCell ref="L102:L104"/>
    <mergeCell ref="L105:L107"/>
    <mergeCell ref="L108:L110"/>
    <mergeCell ref="L111:L113"/>
    <mergeCell ref="L114:L116"/>
    <mergeCell ref="L117:L123"/>
    <mergeCell ref="L124:L131"/>
    <mergeCell ref="M2:M3"/>
    <mergeCell ref="M4:M6"/>
    <mergeCell ref="M7:M12"/>
    <mergeCell ref="M13:M17"/>
    <mergeCell ref="M18:M25"/>
    <mergeCell ref="M26:M32"/>
    <mergeCell ref="M33:M35"/>
    <mergeCell ref="M36:M40"/>
    <mergeCell ref="M41:M45"/>
    <mergeCell ref="M46:M48"/>
    <mergeCell ref="M49:M51"/>
    <mergeCell ref="M52:M58"/>
    <mergeCell ref="M59:M62"/>
    <mergeCell ref="M63:M65"/>
    <mergeCell ref="M66:M68"/>
    <mergeCell ref="M69:M71"/>
    <mergeCell ref="K124:K131"/>
    <mergeCell ref="L2:L3"/>
    <mergeCell ref="L4:L6"/>
    <mergeCell ref="L7:L12"/>
    <mergeCell ref="L13:L17"/>
    <mergeCell ref="L18:L25"/>
    <mergeCell ref="L26:L32"/>
    <mergeCell ref="L33:L35"/>
    <mergeCell ref="L36:L40"/>
    <mergeCell ref="L41:L45"/>
    <mergeCell ref="L46:L48"/>
    <mergeCell ref="L49:L51"/>
    <mergeCell ref="L52:L58"/>
    <mergeCell ref="L59:L62"/>
    <mergeCell ref="L63:L65"/>
    <mergeCell ref="L66:L68"/>
    <mergeCell ref="L69:L71"/>
    <mergeCell ref="L72:L75"/>
    <mergeCell ref="L76:L78"/>
    <mergeCell ref="L79:L81"/>
    <mergeCell ref="L82:L86"/>
    <mergeCell ref="L87:L90"/>
    <mergeCell ref="L91:L93"/>
    <mergeCell ref="L94:L98"/>
    <mergeCell ref="K91:K93"/>
    <mergeCell ref="K94:K98"/>
    <mergeCell ref="K99:K101"/>
    <mergeCell ref="K102:K104"/>
    <mergeCell ref="K105:K107"/>
    <mergeCell ref="K108:K110"/>
    <mergeCell ref="K111:K113"/>
    <mergeCell ref="K114:K116"/>
    <mergeCell ref="K117:K123"/>
    <mergeCell ref="J113:J114"/>
    <mergeCell ref="J116:J117"/>
    <mergeCell ref="J123:J124"/>
    <mergeCell ref="K2:K3"/>
    <mergeCell ref="K4:K6"/>
    <mergeCell ref="K7:K12"/>
    <mergeCell ref="K13:K17"/>
    <mergeCell ref="K18:K25"/>
    <mergeCell ref="K26:K32"/>
    <mergeCell ref="K33:K35"/>
    <mergeCell ref="K36:K40"/>
    <mergeCell ref="K41:K45"/>
    <mergeCell ref="K46:K48"/>
    <mergeCell ref="K49:K51"/>
    <mergeCell ref="K52:K58"/>
    <mergeCell ref="K59:K62"/>
    <mergeCell ref="K63:K65"/>
    <mergeCell ref="K66:K68"/>
    <mergeCell ref="K69:K71"/>
    <mergeCell ref="K72:K75"/>
    <mergeCell ref="K76:K78"/>
    <mergeCell ref="K79:K81"/>
    <mergeCell ref="K82:K86"/>
    <mergeCell ref="K87:K90"/>
    <mergeCell ref="J81:J82"/>
    <mergeCell ref="J86:J87"/>
    <mergeCell ref="J90:J91"/>
    <mergeCell ref="J93:J94"/>
    <mergeCell ref="J98:J99"/>
    <mergeCell ref="J101:J102"/>
    <mergeCell ref="J104:J105"/>
    <mergeCell ref="J107:J108"/>
    <mergeCell ref="J110:J111"/>
    <mergeCell ref="J48:J49"/>
    <mergeCell ref="J51:J52"/>
    <mergeCell ref="J58:J59"/>
    <mergeCell ref="J62:J63"/>
    <mergeCell ref="J65:J66"/>
    <mergeCell ref="J68:J69"/>
    <mergeCell ref="J71:J72"/>
    <mergeCell ref="J75:J76"/>
    <mergeCell ref="J78:J79"/>
    <mergeCell ref="J3:J4"/>
    <mergeCell ref="J6:J7"/>
    <mergeCell ref="J12:J13"/>
    <mergeCell ref="J17:J18"/>
    <mergeCell ref="J25:J26"/>
    <mergeCell ref="J32:J33"/>
    <mergeCell ref="J35:J36"/>
    <mergeCell ref="J40:J41"/>
    <mergeCell ref="J45:J46"/>
    <mergeCell ref="I93:I94"/>
    <mergeCell ref="I98:I99"/>
    <mergeCell ref="I101:I102"/>
    <mergeCell ref="I104:I105"/>
    <mergeCell ref="I107:I108"/>
    <mergeCell ref="I110:I111"/>
    <mergeCell ref="I113:I114"/>
    <mergeCell ref="I116:I117"/>
    <mergeCell ref="I123:I124"/>
    <mergeCell ref="H113:H114"/>
    <mergeCell ref="H116:H117"/>
    <mergeCell ref="H123:H124"/>
    <mergeCell ref="I3:I4"/>
    <mergeCell ref="I6:I7"/>
    <mergeCell ref="I12:I13"/>
    <mergeCell ref="I17:I18"/>
    <mergeCell ref="I25:I26"/>
    <mergeCell ref="I32:I33"/>
    <mergeCell ref="I35:I36"/>
    <mergeCell ref="I40:I41"/>
    <mergeCell ref="I45:I46"/>
    <mergeCell ref="I48:I49"/>
    <mergeCell ref="I51:I52"/>
    <mergeCell ref="I58:I59"/>
    <mergeCell ref="I62:I63"/>
    <mergeCell ref="I65:I66"/>
    <mergeCell ref="I68:I69"/>
    <mergeCell ref="I71:I72"/>
    <mergeCell ref="I75:I76"/>
    <mergeCell ref="I78:I79"/>
    <mergeCell ref="I81:I82"/>
    <mergeCell ref="I86:I87"/>
    <mergeCell ref="I90:I91"/>
    <mergeCell ref="H81:H82"/>
    <mergeCell ref="H86:H87"/>
    <mergeCell ref="H90:H91"/>
    <mergeCell ref="H93:H94"/>
    <mergeCell ref="H98:H99"/>
    <mergeCell ref="H101:H102"/>
    <mergeCell ref="H104:H105"/>
    <mergeCell ref="H107:H108"/>
    <mergeCell ref="H110:H111"/>
    <mergeCell ref="H48:H49"/>
    <mergeCell ref="H51:H52"/>
    <mergeCell ref="H58:H59"/>
    <mergeCell ref="H62:H63"/>
    <mergeCell ref="H65:H66"/>
    <mergeCell ref="H68:H69"/>
    <mergeCell ref="H71:H72"/>
    <mergeCell ref="H75:H76"/>
    <mergeCell ref="H78:H79"/>
    <mergeCell ref="H3:H4"/>
    <mergeCell ref="H6:H7"/>
    <mergeCell ref="H12:H13"/>
    <mergeCell ref="H17:H18"/>
    <mergeCell ref="H25:H26"/>
    <mergeCell ref="H32:H33"/>
    <mergeCell ref="H35:H36"/>
    <mergeCell ref="H40:H41"/>
    <mergeCell ref="H45:H46"/>
    <mergeCell ref="G93:G94"/>
    <mergeCell ref="G98:G99"/>
    <mergeCell ref="G101:G102"/>
    <mergeCell ref="G104:G105"/>
    <mergeCell ref="G107:G108"/>
    <mergeCell ref="G110:G111"/>
    <mergeCell ref="G113:G114"/>
    <mergeCell ref="G116:G117"/>
    <mergeCell ref="G123:G124"/>
    <mergeCell ref="F113:F114"/>
    <mergeCell ref="F116:F117"/>
    <mergeCell ref="F123:F124"/>
    <mergeCell ref="G3:G4"/>
    <mergeCell ref="G6:G7"/>
    <mergeCell ref="G12:G13"/>
    <mergeCell ref="G17:G18"/>
    <mergeCell ref="G25:G26"/>
    <mergeCell ref="G32:G33"/>
    <mergeCell ref="G35:G36"/>
    <mergeCell ref="G40:G41"/>
    <mergeCell ref="G45:G46"/>
    <mergeCell ref="G48:G49"/>
    <mergeCell ref="G51:G52"/>
    <mergeCell ref="G58:G59"/>
    <mergeCell ref="G62:G63"/>
    <mergeCell ref="G65:G66"/>
    <mergeCell ref="G68:G69"/>
    <mergeCell ref="G71:G72"/>
    <mergeCell ref="G75:G76"/>
    <mergeCell ref="G78:G79"/>
    <mergeCell ref="G81:G82"/>
    <mergeCell ref="G86:G87"/>
    <mergeCell ref="G90:G91"/>
    <mergeCell ref="F81:F82"/>
    <mergeCell ref="F86:F87"/>
    <mergeCell ref="F90:F91"/>
    <mergeCell ref="F93:F94"/>
    <mergeCell ref="F98:F99"/>
    <mergeCell ref="F101:F102"/>
    <mergeCell ref="F104:F105"/>
    <mergeCell ref="F107:F108"/>
    <mergeCell ref="F110:F111"/>
    <mergeCell ref="E110:E111"/>
    <mergeCell ref="E113:E115"/>
    <mergeCell ref="E116:E118"/>
    <mergeCell ref="E123:E125"/>
    <mergeCell ref="E126:E127"/>
    <mergeCell ref="E128:E129"/>
    <mergeCell ref="F3:F4"/>
    <mergeCell ref="F6:F7"/>
    <mergeCell ref="F12:F13"/>
    <mergeCell ref="F17:F18"/>
    <mergeCell ref="F25:F26"/>
    <mergeCell ref="F32:F33"/>
    <mergeCell ref="F35:F36"/>
    <mergeCell ref="F40:F41"/>
    <mergeCell ref="F45:F46"/>
    <mergeCell ref="F48:F49"/>
    <mergeCell ref="F51:F52"/>
    <mergeCell ref="F58:F59"/>
    <mergeCell ref="F62:F63"/>
    <mergeCell ref="F65:F66"/>
    <mergeCell ref="F68:F69"/>
    <mergeCell ref="F71:F72"/>
    <mergeCell ref="F75:F76"/>
    <mergeCell ref="F78:F79"/>
    <mergeCell ref="E84:E85"/>
    <mergeCell ref="E86:E88"/>
    <mergeCell ref="E90:E92"/>
    <mergeCell ref="E93:E95"/>
    <mergeCell ref="E96:E97"/>
    <mergeCell ref="E98:E100"/>
    <mergeCell ref="E101:E103"/>
    <mergeCell ref="E104:E106"/>
    <mergeCell ref="E107:E109"/>
    <mergeCell ref="E56:E57"/>
    <mergeCell ref="E58:E60"/>
    <mergeCell ref="E62:E63"/>
    <mergeCell ref="E65:E67"/>
    <mergeCell ref="E68:E70"/>
    <mergeCell ref="E71:E72"/>
    <mergeCell ref="E75:E77"/>
    <mergeCell ref="E78:E79"/>
    <mergeCell ref="E81:E83"/>
    <mergeCell ref="D116:D118"/>
    <mergeCell ref="D121:D122"/>
    <mergeCell ref="D123:D125"/>
    <mergeCell ref="D126:D127"/>
    <mergeCell ref="D128:D129"/>
    <mergeCell ref="E3:E4"/>
    <mergeCell ref="E6:E7"/>
    <mergeCell ref="E10:E11"/>
    <mergeCell ref="E12:E14"/>
    <mergeCell ref="E15:E16"/>
    <mergeCell ref="E17:E18"/>
    <mergeCell ref="E21:E22"/>
    <mergeCell ref="E23:E24"/>
    <mergeCell ref="E25:E27"/>
    <mergeCell ref="E30:E31"/>
    <mergeCell ref="E32:E34"/>
    <mergeCell ref="E35:E37"/>
    <mergeCell ref="E38:E39"/>
    <mergeCell ref="E40:E41"/>
    <mergeCell ref="E43:E44"/>
    <mergeCell ref="E45:E47"/>
    <mergeCell ref="E48:E50"/>
    <mergeCell ref="E51:E52"/>
    <mergeCell ref="E54:E55"/>
    <mergeCell ref="D90:D92"/>
    <mergeCell ref="D93:D95"/>
    <mergeCell ref="D96:D97"/>
    <mergeCell ref="D98:D100"/>
    <mergeCell ref="D101:D103"/>
    <mergeCell ref="D104:D106"/>
    <mergeCell ref="D107:D109"/>
    <mergeCell ref="D110:D112"/>
    <mergeCell ref="D113:D115"/>
    <mergeCell ref="D62:D63"/>
    <mergeCell ref="D65:D66"/>
    <mergeCell ref="D68:D69"/>
    <mergeCell ref="D71:D72"/>
    <mergeCell ref="D75:D77"/>
    <mergeCell ref="D78:D79"/>
    <mergeCell ref="D81:D83"/>
    <mergeCell ref="D84:D85"/>
    <mergeCell ref="D86:D88"/>
    <mergeCell ref="C123:C125"/>
    <mergeCell ref="C126:C127"/>
    <mergeCell ref="C128:C129"/>
    <mergeCell ref="D3:D4"/>
    <mergeCell ref="D6:D7"/>
    <mergeCell ref="D10:D11"/>
    <mergeCell ref="D12:D14"/>
    <mergeCell ref="D15:D16"/>
    <mergeCell ref="D17:D18"/>
    <mergeCell ref="D21:D22"/>
    <mergeCell ref="D23:D24"/>
    <mergeCell ref="D25:D27"/>
    <mergeCell ref="D30:D31"/>
    <mergeCell ref="D32:D34"/>
    <mergeCell ref="D35:D37"/>
    <mergeCell ref="D38:D39"/>
    <mergeCell ref="D40:D41"/>
    <mergeCell ref="D43:D44"/>
    <mergeCell ref="D45:D47"/>
    <mergeCell ref="D48:D50"/>
    <mergeCell ref="D51:D52"/>
    <mergeCell ref="D54:D55"/>
    <mergeCell ref="D56:D57"/>
    <mergeCell ref="D58:D60"/>
    <mergeCell ref="C96:C97"/>
    <mergeCell ref="C98:C100"/>
    <mergeCell ref="C101:C103"/>
    <mergeCell ref="C104:C106"/>
    <mergeCell ref="C107:C109"/>
    <mergeCell ref="C110:C112"/>
    <mergeCell ref="C113:C115"/>
    <mergeCell ref="C116:C118"/>
    <mergeCell ref="C121:C122"/>
    <mergeCell ref="C68:C69"/>
    <mergeCell ref="C71:C72"/>
    <mergeCell ref="C75:C77"/>
    <mergeCell ref="C78:C79"/>
    <mergeCell ref="C81:C83"/>
    <mergeCell ref="C84:C85"/>
    <mergeCell ref="C86:C88"/>
    <mergeCell ref="C90:C92"/>
    <mergeCell ref="C93:C95"/>
    <mergeCell ref="B123:B124"/>
    <mergeCell ref="C3:C4"/>
    <mergeCell ref="C6:C7"/>
    <mergeCell ref="C10:C11"/>
    <mergeCell ref="C12:C14"/>
    <mergeCell ref="C15:C16"/>
    <mergeCell ref="C17:C18"/>
    <mergeCell ref="C21:C22"/>
    <mergeCell ref="C23:C24"/>
    <mergeCell ref="C25:C27"/>
    <mergeCell ref="C30:C31"/>
    <mergeCell ref="C32:C34"/>
    <mergeCell ref="C35:C37"/>
    <mergeCell ref="C38:C39"/>
    <mergeCell ref="C40:C41"/>
    <mergeCell ref="C43:C44"/>
    <mergeCell ref="C45:C47"/>
    <mergeCell ref="C48:C50"/>
    <mergeCell ref="C51:C52"/>
    <mergeCell ref="C54:C55"/>
    <mergeCell ref="C56:C57"/>
    <mergeCell ref="C58:C60"/>
    <mergeCell ref="C62:C63"/>
    <mergeCell ref="C65:C66"/>
    <mergeCell ref="B90:B91"/>
    <mergeCell ref="B93:B94"/>
    <mergeCell ref="B98:B99"/>
    <mergeCell ref="B101:B102"/>
    <mergeCell ref="B104:B105"/>
    <mergeCell ref="B107:B108"/>
    <mergeCell ref="B110:B111"/>
    <mergeCell ref="B113:B114"/>
    <mergeCell ref="B116:B117"/>
    <mergeCell ref="A110:A111"/>
    <mergeCell ref="A113:A114"/>
    <mergeCell ref="A116:A117"/>
    <mergeCell ref="A123:A124"/>
    <mergeCell ref="B3:B4"/>
    <mergeCell ref="B6:B7"/>
    <mergeCell ref="B12:B13"/>
    <mergeCell ref="B17:B18"/>
    <mergeCell ref="B25:B26"/>
    <mergeCell ref="B32:B33"/>
    <mergeCell ref="B35:B36"/>
    <mergeCell ref="B40:B41"/>
    <mergeCell ref="B45:B46"/>
    <mergeCell ref="B48:B49"/>
    <mergeCell ref="B51:B52"/>
    <mergeCell ref="B58:B59"/>
    <mergeCell ref="B62:B63"/>
    <mergeCell ref="B65:B66"/>
    <mergeCell ref="B68:B69"/>
    <mergeCell ref="B71:B72"/>
    <mergeCell ref="B75:B76"/>
    <mergeCell ref="B78:B79"/>
    <mergeCell ref="B81:B82"/>
    <mergeCell ref="B86:B87"/>
    <mergeCell ref="A78:A79"/>
    <mergeCell ref="A81:A82"/>
    <mergeCell ref="A86:A87"/>
    <mergeCell ref="A90:A91"/>
    <mergeCell ref="A93:A94"/>
    <mergeCell ref="A98:A99"/>
    <mergeCell ref="A101:A102"/>
    <mergeCell ref="A104:A105"/>
    <mergeCell ref="A107:A108"/>
    <mergeCell ref="A40:A41"/>
    <mergeCell ref="A45:A46"/>
    <mergeCell ref="A48:A49"/>
    <mergeCell ref="A58:A59"/>
    <mergeCell ref="A62:A63"/>
    <mergeCell ref="A65:A66"/>
    <mergeCell ref="A68:A69"/>
    <mergeCell ref="A71:A72"/>
    <mergeCell ref="A75:A76"/>
    <mergeCell ref="D1:E1"/>
    <mergeCell ref="F1:G1"/>
    <mergeCell ref="A3:A4"/>
    <mergeCell ref="A6:A7"/>
    <mergeCell ref="A12:A13"/>
    <mergeCell ref="A17:A18"/>
    <mergeCell ref="A25:A26"/>
    <mergeCell ref="A32:A33"/>
    <mergeCell ref="A35:A36"/>
  </mergeCells>
  <phoneticPr fontId="6" type="noConversion"/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6F07-4A51-4616-8787-2CFBE317DFD2}">
  <dimension ref="A1:G134"/>
  <sheetViews>
    <sheetView workbookViewId="0">
      <selection activeCell="H9" sqref="H9"/>
    </sheetView>
  </sheetViews>
  <sheetFormatPr defaultRowHeight="13.5" x14ac:dyDescent="0.3"/>
  <cols>
    <col min="1" max="1" width="30.6640625" style="2" customWidth="1"/>
    <col min="2" max="2" width="15.33203125" style="2" customWidth="1"/>
    <col min="3" max="3" width="17.59765625" style="2" customWidth="1"/>
    <col min="4" max="4" width="9.06640625" style="2"/>
    <col min="5" max="5" width="19.46484375" style="2" customWidth="1"/>
    <col min="6" max="7" width="15.33203125" style="2" customWidth="1"/>
  </cols>
  <sheetData>
    <row r="1" spans="1:7" ht="27.75" customHeight="1" x14ac:dyDescent="0.3">
      <c r="A1" s="15" t="s">
        <v>1</v>
      </c>
      <c r="B1" s="11" t="s">
        <v>10</v>
      </c>
      <c r="C1" s="12" t="s">
        <v>13</v>
      </c>
      <c r="D1" s="24" t="s">
        <v>161</v>
      </c>
      <c r="E1" s="3" t="s">
        <v>5</v>
      </c>
      <c r="F1" s="23" t="s">
        <v>162</v>
      </c>
      <c r="G1" s="23" t="s">
        <v>163</v>
      </c>
    </row>
    <row r="2" spans="1:7" ht="15" x14ac:dyDescent="0.4">
      <c r="A2" s="4" t="s">
        <v>14</v>
      </c>
      <c r="B2" s="44">
        <v>29.96</v>
      </c>
      <c r="C2" s="26">
        <v>30.5</v>
      </c>
      <c r="D2" s="26"/>
      <c r="E2" s="15">
        <v>35.5</v>
      </c>
      <c r="F2" s="44">
        <f>E2-C2</f>
        <v>5</v>
      </c>
      <c r="G2" s="44">
        <f>B2*10000/5/60/60</f>
        <v>16.644444444444442</v>
      </c>
    </row>
    <row r="3" spans="1:7" ht="15" x14ac:dyDescent="0.4">
      <c r="A3" s="46" t="s">
        <v>17</v>
      </c>
      <c r="B3" s="44"/>
      <c r="C3" s="26"/>
      <c r="D3" s="26"/>
      <c r="E3" s="69">
        <v>34.99</v>
      </c>
      <c r="F3" s="44"/>
      <c r="G3" s="44"/>
    </row>
    <row r="4" spans="1:7" ht="15" x14ac:dyDescent="0.4">
      <c r="A4" s="46"/>
      <c r="B4" s="44">
        <v>5.21</v>
      </c>
      <c r="C4" s="26"/>
      <c r="D4" s="26"/>
      <c r="E4" s="70"/>
      <c r="F4" s="44">
        <v>5.21</v>
      </c>
      <c r="G4" s="44"/>
    </row>
    <row r="5" spans="1:7" ht="15" x14ac:dyDescent="0.4">
      <c r="A5" s="15" t="s">
        <v>19</v>
      </c>
      <c r="B5" s="44"/>
      <c r="C5" s="26"/>
      <c r="D5" s="26"/>
      <c r="E5" s="15"/>
      <c r="F5" s="44"/>
      <c r="G5" s="44"/>
    </row>
    <row r="6" spans="1:7" ht="15" x14ac:dyDescent="0.4">
      <c r="A6" s="46" t="s">
        <v>20</v>
      </c>
      <c r="B6" s="44"/>
      <c r="C6" s="26"/>
      <c r="D6" s="26"/>
      <c r="E6" s="69">
        <v>35.06</v>
      </c>
      <c r="F6" s="44"/>
      <c r="G6" s="44"/>
    </row>
    <row r="7" spans="1:7" ht="15" x14ac:dyDescent="0.4">
      <c r="A7" s="46"/>
      <c r="B7" s="44">
        <v>2.2200000000000002</v>
      </c>
      <c r="C7" s="28"/>
      <c r="D7" s="26"/>
      <c r="E7" s="70"/>
      <c r="F7" s="44">
        <v>2.2200000000000002</v>
      </c>
      <c r="G7" s="44"/>
    </row>
    <row r="8" spans="1:7" ht="15" x14ac:dyDescent="0.4">
      <c r="A8" s="5" t="s">
        <v>22</v>
      </c>
      <c r="B8" s="44"/>
      <c r="C8" s="28"/>
      <c r="D8" s="26">
        <v>5.5</v>
      </c>
      <c r="E8" s="15">
        <v>5.21</v>
      </c>
      <c r="F8" s="44"/>
      <c r="G8" s="44"/>
    </row>
    <row r="9" spans="1:7" ht="15" x14ac:dyDescent="0.4">
      <c r="A9" s="15" t="s">
        <v>23</v>
      </c>
      <c r="B9" s="44"/>
      <c r="C9" s="26"/>
      <c r="D9" s="26"/>
      <c r="E9" s="15"/>
      <c r="F9" s="44"/>
      <c r="G9" s="44"/>
    </row>
    <row r="10" spans="1:7" ht="15" x14ac:dyDescent="0.4">
      <c r="A10" s="15" t="s">
        <v>24</v>
      </c>
      <c r="B10" s="44"/>
      <c r="C10" s="26"/>
      <c r="D10" s="26"/>
      <c r="E10" s="15"/>
      <c r="F10" s="44"/>
      <c r="G10" s="44"/>
    </row>
    <row r="11" spans="1:7" ht="15" x14ac:dyDescent="0.4">
      <c r="A11" s="15" t="s">
        <v>26</v>
      </c>
      <c r="B11" s="44"/>
      <c r="C11" s="26"/>
      <c r="D11" s="26"/>
      <c r="E11" s="15"/>
      <c r="F11" s="44"/>
      <c r="G11" s="44"/>
    </row>
    <row r="12" spans="1:7" ht="15" x14ac:dyDescent="0.4">
      <c r="A12" s="48" t="s">
        <v>27</v>
      </c>
      <c r="B12" s="44"/>
      <c r="C12" s="26">
        <v>25</v>
      </c>
      <c r="D12" s="26"/>
      <c r="E12" s="69">
        <v>29.48</v>
      </c>
      <c r="F12" s="44"/>
      <c r="G12" s="44"/>
    </row>
    <row r="13" spans="1:7" ht="15" x14ac:dyDescent="0.4">
      <c r="A13" s="48"/>
      <c r="B13" s="54">
        <v>23.45</v>
      </c>
      <c r="C13" s="26"/>
      <c r="D13" s="26"/>
      <c r="E13" s="70"/>
      <c r="F13" s="54">
        <v>23.45</v>
      </c>
      <c r="G13" s="54"/>
    </row>
    <row r="14" spans="1:7" ht="15" x14ac:dyDescent="0.4">
      <c r="A14" s="4" t="s">
        <v>29</v>
      </c>
      <c r="B14" s="54"/>
      <c r="C14" s="26"/>
      <c r="D14" s="26"/>
      <c r="E14" s="15"/>
      <c r="F14" s="54"/>
      <c r="G14" s="54"/>
    </row>
    <row r="15" spans="1:7" ht="15" x14ac:dyDescent="0.4">
      <c r="A15" s="15" t="s">
        <v>30</v>
      </c>
      <c r="B15" s="54"/>
      <c r="C15" s="26"/>
      <c r="D15" s="26"/>
      <c r="E15" s="15"/>
      <c r="F15" s="54"/>
      <c r="G15" s="54"/>
    </row>
    <row r="16" spans="1:7" ht="15" x14ac:dyDescent="0.4">
      <c r="A16" s="15" t="s">
        <v>32</v>
      </c>
      <c r="B16" s="54"/>
      <c r="C16" s="26"/>
      <c r="D16" s="26"/>
      <c r="E16" s="15"/>
      <c r="F16" s="54"/>
      <c r="G16" s="54"/>
    </row>
    <row r="17" spans="1:7" ht="15" x14ac:dyDescent="0.4">
      <c r="A17" s="46" t="s">
        <v>33</v>
      </c>
      <c r="B17" s="54"/>
      <c r="C17" s="26"/>
      <c r="D17" s="26"/>
      <c r="E17" s="69"/>
      <c r="F17" s="54"/>
      <c r="G17" s="54"/>
    </row>
    <row r="18" spans="1:7" ht="15" x14ac:dyDescent="0.4">
      <c r="A18" s="46"/>
      <c r="B18" s="54">
        <v>26.85</v>
      </c>
      <c r="C18" s="26"/>
      <c r="D18" s="26"/>
      <c r="E18" s="70"/>
      <c r="F18" s="54">
        <v>26.85</v>
      </c>
      <c r="G18" s="54"/>
    </row>
    <row r="19" spans="1:7" ht="15" x14ac:dyDescent="0.4">
      <c r="A19" s="8" t="s">
        <v>35</v>
      </c>
      <c r="B19" s="54"/>
      <c r="C19" s="26">
        <v>24.7</v>
      </c>
      <c r="D19" s="26">
        <v>0.3</v>
      </c>
      <c r="E19" s="15">
        <v>0.25</v>
      </c>
      <c r="F19" s="54"/>
      <c r="G19" s="54"/>
    </row>
    <row r="20" spans="1:7" ht="15" x14ac:dyDescent="0.4">
      <c r="A20" s="10" t="s">
        <v>36</v>
      </c>
      <c r="B20" s="54"/>
      <c r="C20" s="26"/>
      <c r="D20" s="26"/>
      <c r="E20" s="15"/>
      <c r="F20" s="54"/>
      <c r="G20" s="54"/>
    </row>
    <row r="21" spans="1:7" ht="15" x14ac:dyDescent="0.4">
      <c r="A21" s="10" t="s">
        <v>37</v>
      </c>
      <c r="B21" s="54"/>
      <c r="C21" s="26"/>
      <c r="D21" s="26"/>
      <c r="E21" s="15"/>
      <c r="F21" s="54"/>
      <c r="G21" s="54"/>
    </row>
    <row r="22" spans="1:7" ht="15" x14ac:dyDescent="0.4">
      <c r="A22" s="10" t="s">
        <v>39</v>
      </c>
      <c r="B22" s="54"/>
      <c r="C22" s="26"/>
      <c r="D22" s="26"/>
      <c r="E22" s="15"/>
      <c r="F22" s="54"/>
      <c r="G22" s="54"/>
    </row>
    <row r="23" spans="1:7" ht="15" x14ac:dyDescent="0.4">
      <c r="A23" s="10" t="s">
        <v>40</v>
      </c>
      <c r="B23" s="54"/>
      <c r="C23" s="26"/>
      <c r="D23" s="26"/>
      <c r="E23" s="15"/>
      <c r="F23" s="54"/>
      <c r="G23" s="54"/>
    </row>
    <row r="24" spans="1:7" ht="15" x14ac:dyDescent="0.4">
      <c r="A24" s="10" t="s">
        <v>42</v>
      </c>
      <c r="B24" s="54"/>
      <c r="C24" s="26"/>
      <c r="D24" s="26"/>
      <c r="E24" s="15"/>
      <c r="F24" s="54"/>
      <c r="G24" s="54"/>
    </row>
    <row r="25" spans="1:7" ht="15" x14ac:dyDescent="0.4">
      <c r="A25" s="46" t="s">
        <v>43</v>
      </c>
      <c r="B25" s="54"/>
      <c r="C25" s="26"/>
      <c r="D25" s="26"/>
      <c r="E25" s="69"/>
      <c r="F25" s="54"/>
      <c r="G25" s="54"/>
    </row>
    <row r="26" spans="1:7" ht="15" x14ac:dyDescent="0.4">
      <c r="A26" s="46"/>
      <c r="B26" s="54">
        <v>13.76</v>
      </c>
      <c r="C26" s="26"/>
      <c r="D26" s="26"/>
      <c r="E26" s="70"/>
      <c r="F26" s="54">
        <v>13.76</v>
      </c>
      <c r="G26" s="54"/>
    </row>
    <row r="27" spans="1:7" ht="15" x14ac:dyDescent="0.4">
      <c r="A27" s="10" t="s">
        <v>45</v>
      </c>
      <c r="B27" s="54"/>
      <c r="C27" s="26"/>
      <c r="D27" s="26"/>
      <c r="E27" s="15"/>
      <c r="F27" s="54"/>
      <c r="G27" s="54"/>
    </row>
    <row r="28" spans="1:7" ht="15" x14ac:dyDescent="0.4">
      <c r="A28" s="8" t="s">
        <v>46</v>
      </c>
      <c r="B28" s="54"/>
      <c r="C28" s="26">
        <v>24.25</v>
      </c>
      <c r="D28" s="26">
        <v>0.45</v>
      </c>
      <c r="E28" s="15">
        <v>0.24</v>
      </c>
      <c r="F28" s="54"/>
      <c r="G28" s="54"/>
    </row>
    <row r="29" spans="1:7" ht="15" x14ac:dyDescent="0.4">
      <c r="A29" s="8" t="s">
        <v>47</v>
      </c>
      <c r="B29" s="54"/>
      <c r="C29" s="26">
        <v>24.05</v>
      </c>
      <c r="D29" s="26">
        <v>0.2</v>
      </c>
      <c r="E29" s="15">
        <v>0.1</v>
      </c>
      <c r="F29" s="54"/>
      <c r="G29" s="54"/>
    </row>
    <row r="30" spans="1:7" ht="15" x14ac:dyDescent="0.4">
      <c r="A30" s="10" t="s">
        <v>48</v>
      </c>
      <c r="B30" s="54"/>
      <c r="C30" s="26"/>
      <c r="D30" s="26"/>
      <c r="E30" s="15"/>
      <c r="F30" s="54"/>
      <c r="G30" s="54"/>
    </row>
    <row r="31" spans="1:7" ht="15" x14ac:dyDescent="0.4">
      <c r="A31" s="10" t="s">
        <v>50</v>
      </c>
      <c r="B31" s="54"/>
      <c r="C31" s="26"/>
      <c r="D31" s="26"/>
      <c r="E31" s="15"/>
      <c r="F31" s="54"/>
      <c r="G31" s="54"/>
    </row>
    <row r="32" spans="1:7" ht="15" x14ac:dyDescent="0.4">
      <c r="A32" s="46" t="s">
        <v>51</v>
      </c>
      <c r="B32" s="54"/>
      <c r="C32" s="26"/>
      <c r="D32" s="26"/>
      <c r="E32" s="69"/>
      <c r="F32" s="54"/>
      <c r="G32" s="54"/>
    </row>
    <row r="33" spans="1:7" ht="15" x14ac:dyDescent="0.4">
      <c r="A33" s="46"/>
      <c r="B33" s="54">
        <v>6.66</v>
      </c>
      <c r="C33" s="26"/>
      <c r="D33" s="26"/>
      <c r="E33" s="70"/>
      <c r="F33" s="54">
        <v>6.66</v>
      </c>
      <c r="G33" s="54"/>
    </row>
    <row r="34" spans="1:7" ht="15" x14ac:dyDescent="0.4">
      <c r="A34" s="10" t="s">
        <v>53</v>
      </c>
      <c r="B34" s="54"/>
      <c r="C34" s="26"/>
      <c r="D34" s="26"/>
      <c r="E34" s="15"/>
      <c r="F34" s="54"/>
      <c r="G34" s="54"/>
    </row>
    <row r="35" spans="1:7" ht="15" x14ac:dyDescent="0.4">
      <c r="A35" s="46" t="s">
        <v>54</v>
      </c>
      <c r="B35" s="54"/>
      <c r="C35" s="26"/>
      <c r="D35" s="26"/>
      <c r="E35" s="69"/>
      <c r="F35" s="54"/>
      <c r="G35" s="54"/>
    </row>
    <row r="36" spans="1:7" ht="15" x14ac:dyDescent="0.4">
      <c r="A36" s="46"/>
      <c r="B36" s="54">
        <v>7.35</v>
      </c>
      <c r="C36" s="26"/>
      <c r="D36" s="26"/>
      <c r="E36" s="70"/>
      <c r="F36" s="54">
        <v>7.35</v>
      </c>
      <c r="G36" s="54"/>
    </row>
    <row r="37" spans="1:7" ht="15" x14ac:dyDescent="0.4">
      <c r="A37" s="10" t="s">
        <v>56</v>
      </c>
      <c r="B37" s="54"/>
      <c r="C37" s="26"/>
      <c r="D37" s="26"/>
      <c r="E37" s="15"/>
      <c r="F37" s="54"/>
      <c r="G37" s="54"/>
    </row>
    <row r="38" spans="1:7" ht="15" x14ac:dyDescent="0.4">
      <c r="A38" s="10" t="s">
        <v>57</v>
      </c>
      <c r="B38" s="54"/>
      <c r="C38" s="26"/>
      <c r="D38" s="26"/>
      <c r="E38" s="15"/>
      <c r="F38" s="54"/>
      <c r="G38" s="54"/>
    </row>
    <row r="39" spans="1:7" ht="15" x14ac:dyDescent="0.4">
      <c r="A39" s="10" t="s">
        <v>59</v>
      </c>
      <c r="B39" s="54"/>
      <c r="C39" s="26"/>
      <c r="D39" s="26"/>
      <c r="E39" s="15"/>
      <c r="F39" s="54"/>
      <c r="G39" s="54"/>
    </row>
    <row r="40" spans="1:7" ht="15" x14ac:dyDescent="0.4">
      <c r="A40" s="46" t="s">
        <v>60</v>
      </c>
      <c r="B40" s="54"/>
      <c r="C40" s="26"/>
      <c r="D40" s="26"/>
      <c r="E40" s="69"/>
      <c r="F40" s="54"/>
      <c r="G40" s="54"/>
    </row>
    <row r="41" spans="1:7" ht="15" x14ac:dyDescent="0.4">
      <c r="A41" s="46"/>
      <c r="B41" s="54">
        <v>0.68</v>
      </c>
      <c r="C41" s="26"/>
      <c r="D41" s="26"/>
      <c r="E41" s="70"/>
      <c r="F41" s="54">
        <v>0.68</v>
      </c>
      <c r="G41" s="54"/>
    </row>
    <row r="42" spans="1:7" ht="15" x14ac:dyDescent="0.4">
      <c r="A42" s="10" t="s">
        <v>62</v>
      </c>
      <c r="B42" s="54"/>
      <c r="C42" s="26"/>
      <c r="D42" s="26"/>
      <c r="E42" s="15"/>
      <c r="F42" s="54"/>
      <c r="G42" s="54"/>
    </row>
    <row r="43" spans="1:7" ht="15" x14ac:dyDescent="0.4">
      <c r="A43" s="10" t="s">
        <v>63</v>
      </c>
      <c r="B43" s="54"/>
      <c r="C43" s="26"/>
      <c r="D43" s="26"/>
      <c r="E43" s="15"/>
      <c r="F43" s="54"/>
      <c r="G43" s="54"/>
    </row>
    <row r="44" spans="1:7" ht="15" x14ac:dyDescent="0.4">
      <c r="A44" s="10" t="s">
        <v>65</v>
      </c>
      <c r="B44" s="54"/>
      <c r="C44" s="26"/>
      <c r="D44" s="26"/>
      <c r="E44" s="15"/>
      <c r="F44" s="54"/>
      <c r="G44" s="54"/>
    </row>
    <row r="45" spans="1:7" ht="15" x14ac:dyDescent="0.4">
      <c r="A45" s="46" t="s">
        <v>66</v>
      </c>
      <c r="B45" s="54"/>
      <c r="C45" s="26"/>
      <c r="D45" s="26"/>
      <c r="E45" s="69"/>
      <c r="F45" s="54"/>
      <c r="G45" s="54"/>
    </row>
    <row r="46" spans="1:7" ht="15" x14ac:dyDescent="0.4">
      <c r="A46" s="46"/>
      <c r="B46" s="54">
        <v>-1.2</v>
      </c>
      <c r="C46" s="26"/>
      <c r="D46" s="26"/>
      <c r="E46" s="70"/>
      <c r="F46" s="54">
        <v>-1.2</v>
      </c>
      <c r="G46" s="54"/>
    </row>
    <row r="47" spans="1:7" ht="15" x14ac:dyDescent="0.4">
      <c r="A47" s="10" t="s">
        <v>68</v>
      </c>
      <c r="B47" s="54"/>
      <c r="C47" s="26"/>
      <c r="D47" s="26"/>
      <c r="E47" s="15"/>
      <c r="F47" s="54"/>
      <c r="G47" s="54"/>
    </row>
    <row r="48" spans="1:7" ht="15" x14ac:dyDescent="0.4">
      <c r="A48" s="46" t="s">
        <v>69</v>
      </c>
      <c r="B48" s="54"/>
      <c r="C48" s="26"/>
      <c r="D48" s="26"/>
      <c r="E48" s="69"/>
      <c r="F48" s="54"/>
      <c r="G48" s="54"/>
    </row>
    <row r="49" spans="1:7" ht="15" x14ac:dyDescent="0.4">
      <c r="A49" s="46"/>
      <c r="B49" s="54">
        <v>-0.11</v>
      </c>
      <c r="C49" s="26"/>
      <c r="D49" s="26"/>
      <c r="E49" s="70"/>
      <c r="F49" s="54">
        <v>-0.11</v>
      </c>
      <c r="G49" s="54"/>
    </row>
    <row r="50" spans="1:7" ht="15" x14ac:dyDescent="0.4">
      <c r="A50" s="15" t="s">
        <v>71</v>
      </c>
      <c r="B50" s="54"/>
      <c r="C50" s="26"/>
      <c r="D50" s="26"/>
      <c r="E50" s="15"/>
      <c r="F50" s="54"/>
      <c r="G50" s="54"/>
    </row>
    <row r="51" spans="1:7" ht="15" x14ac:dyDescent="0.4">
      <c r="A51" s="48" t="s">
        <v>72</v>
      </c>
      <c r="B51" s="54"/>
      <c r="C51" s="50">
        <v>23</v>
      </c>
      <c r="D51" s="26"/>
      <c r="E51" s="69">
        <v>27.84</v>
      </c>
      <c r="F51" s="54"/>
      <c r="G51" s="54"/>
    </row>
    <row r="52" spans="1:7" ht="15" x14ac:dyDescent="0.4">
      <c r="A52" s="48"/>
      <c r="B52" s="54">
        <v>6.96</v>
      </c>
      <c r="C52" s="50"/>
      <c r="D52" s="26"/>
      <c r="E52" s="70"/>
      <c r="F52" s="54">
        <v>6.96</v>
      </c>
      <c r="G52" s="54"/>
    </row>
    <row r="53" spans="1:7" ht="15" x14ac:dyDescent="0.4">
      <c r="A53" s="5" t="s">
        <v>74</v>
      </c>
      <c r="B53" s="54"/>
      <c r="C53" s="26">
        <v>22.5</v>
      </c>
      <c r="D53" s="26">
        <v>0.5</v>
      </c>
      <c r="E53" s="15">
        <v>0</v>
      </c>
      <c r="F53" s="54"/>
      <c r="G53" s="54"/>
    </row>
    <row r="54" spans="1:7" ht="15" x14ac:dyDescent="0.4">
      <c r="A54" s="10" t="s">
        <v>75</v>
      </c>
      <c r="B54" s="54"/>
      <c r="C54" s="26"/>
      <c r="D54" s="26"/>
      <c r="E54" s="15"/>
      <c r="F54" s="54"/>
      <c r="G54" s="54"/>
    </row>
    <row r="55" spans="1:7" ht="15" x14ac:dyDescent="0.4">
      <c r="A55" s="10" t="s">
        <v>77</v>
      </c>
      <c r="B55" s="54"/>
      <c r="C55" s="26"/>
      <c r="D55" s="26"/>
      <c r="E55" s="15"/>
      <c r="F55" s="54"/>
      <c r="G55" s="54"/>
    </row>
    <row r="56" spans="1:7" ht="15" x14ac:dyDescent="0.4">
      <c r="A56" s="10" t="s">
        <v>78</v>
      </c>
      <c r="B56" s="54"/>
      <c r="C56" s="26"/>
      <c r="D56" s="26"/>
      <c r="E56" s="15"/>
      <c r="F56" s="54"/>
      <c r="G56" s="54"/>
    </row>
    <row r="57" spans="1:7" ht="15" x14ac:dyDescent="0.4">
      <c r="A57" s="10" t="s">
        <v>80</v>
      </c>
      <c r="B57" s="54"/>
      <c r="C57" s="26"/>
      <c r="D57" s="26"/>
      <c r="E57" s="15"/>
      <c r="F57" s="54"/>
      <c r="G57" s="54"/>
    </row>
    <row r="58" spans="1:7" ht="15" x14ac:dyDescent="0.4">
      <c r="A58" s="46" t="s">
        <v>81</v>
      </c>
      <c r="B58" s="54"/>
      <c r="C58" s="26"/>
      <c r="D58" s="26"/>
      <c r="E58" s="69"/>
      <c r="F58" s="54"/>
      <c r="G58" s="54"/>
    </row>
    <row r="59" spans="1:7" ht="15" x14ac:dyDescent="0.4">
      <c r="A59" s="46"/>
      <c r="B59" s="54">
        <v>5.77</v>
      </c>
      <c r="C59" s="26"/>
      <c r="D59" s="26"/>
      <c r="E59" s="70"/>
      <c r="F59" s="54">
        <v>5.77</v>
      </c>
      <c r="G59" s="54"/>
    </row>
    <row r="60" spans="1:7" ht="15" x14ac:dyDescent="0.4">
      <c r="A60" s="10" t="s">
        <v>83</v>
      </c>
      <c r="B60" s="54"/>
      <c r="C60" s="26"/>
      <c r="D60" s="26"/>
      <c r="E60" s="15"/>
      <c r="F60" s="54"/>
      <c r="G60" s="54"/>
    </row>
    <row r="61" spans="1:7" ht="15" x14ac:dyDescent="0.4">
      <c r="A61" s="5" t="s">
        <v>84</v>
      </c>
      <c r="B61" s="54"/>
      <c r="C61" s="26"/>
      <c r="D61" s="26"/>
      <c r="E61" s="15">
        <v>26.54</v>
      </c>
      <c r="F61" s="54"/>
      <c r="G61" s="54"/>
    </row>
    <row r="62" spans="1:7" ht="15" x14ac:dyDescent="0.4">
      <c r="A62" s="46" t="s">
        <v>86</v>
      </c>
      <c r="B62" s="54"/>
      <c r="C62" s="26"/>
      <c r="D62" s="26"/>
      <c r="E62" s="69"/>
      <c r="F62" s="54"/>
      <c r="G62" s="54"/>
    </row>
    <row r="63" spans="1:7" ht="15" x14ac:dyDescent="0.4">
      <c r="A63" s="46"/>
      <c r="B63" s="54">
        <v>8.33</v>
      </c>
      <c r="C63" s="26"/>
      <c r="D63" s="26"/>
      <c r="E63" s="70"/>
      <c r="F63" s="54">
        <v>8.33</v>
      </c>
      <c r="G63" s="54"/>
    </row>
    <row r="64" spans="1:7" ht="15" x14ac:dyDescent="0.4">
      <c r="A64" s="10" t="s">
        <v>88</v>
      </c>
      <c r="B64" s="54"/>
      <c r="C64" s="26"/>
      <c r="D64" s="26"/>
      <c r="E64" s="15"/>
      <c r="F64" s="54"/>
      <c r="G64" s="54"/>
    </row>
    <row r="65" spans="1:7" ht="15" x14ac:dyDescent="0.4">
      <c r="A65" s="46" t="s">
        <v>89</v>
      </c>
      <c r="B65" s="54"/>
      <c r="C65" s="26"/>
      <c r="D65" s="26"/>
      <c r="E65" s="69"/>
      <c r="F65" s="54"/>
      <c r="G65" s="54"/>
    </row>
    <row r="66" spans="1:7" ht="15" x14ac:dyDescent="0.4">
      <c r="A66" s="46"/>
      <c r="B66" s="55">
        <v>11.66</v>
      </c>
      <c r="C66" s="26"/>
      <c r="D66" s="26"/>
      <c r="E66" s="70"/>
      <c r="F66" s="55">
        <v>11.66</v>
      </c>
      <c r="G66" s="55"/>
    </row>
    <row r="67" spans="1:7" ht="15" x14ac:dyDescent="0.4">
      <c r="A67" s="10" t="s">
        <v>91</v>
      </c>
      <c r="B67" s="55"/>
      <c r="C67" s="26"/>
      <c r="D67" s="26"/>
      <c r="E67" s="15"/>
      <c r="F67" s="55"/>
      <c r="G67" s="55"/>
    </row>
    <row r="68" spans="1:7" ht="15" x14ac:dyDescent="0.4">
      <c r="A68" s="46" t="s">
        <v>92</v>
      </c>
      <c r="B68" s="55"/>
      <c r="C68" s="26"/>
      <c r="D68" s="26"/>
      <c r="E68" s="69"/>
      <c r="F68" s="55"/>
      <c r="G68" s="55"/>
    </row>
    <row r="69" spans="1:7" ht="15" x14ac:dyDescent="0.4">
      <c r="A69" s="46"/>
      <c r="B69" s="44">
        <v>3.58</v>
      </c>
      <c r="C69" s="26"/>
      <c r="D69" s="26"/>
      <c r="E69" s="70"/>
      <c r="F69" s="44">
        <v>3.58</v>
      </c>
      <c r="G69" s="44"/>
    </row>
    <row r="70" spans="1:7" ht="15" x14ac:dyDescent="0.4">
      <c r="A70" s="10" t="s">
        <v>94</v>
      </c>
      <c r="B70" s="44"/>
      <c r="C70" s="26"/>
      <c r="D70" s="26"/>
      <c r="E70" s="13"/>
      <c r="F70" s="44"/>
      <c r="G70" s="44"/>
    </row>
    <row r="71" spans="1:7" ht="15" x14ac:dyDescent="0.4">
      <c r="A71" s="46" t="s">
        <v>95</v>
      </c>
      <c r="B71" s="44"/>
      <c r="C71" s="26"/>
      <c r="D71" s="26"/>
      <c r="E71" s="69">
        <v>27.14</v>
      </c>
      <c r="F71" s="44"/>
      <c r="G71" s="44"/>
    </row>
    <row r="72" spans="1:7" ht="15" x14ac:dyDescent="0.4">
      <c r="A72" s="46"/>
      <c r="B72" s="44">
        <v>3.42</v>
      </c>
      <c r="C72" s="26"/>
      <c r="D72" s="26"/>
      <c r="E72" s="70"/>
      <c r="F72" s="44">
        <v>3.42</v>
      </c>
      <c r="G72" s="44"/>
    </row>
    <row r="73" spans="1:7" ht="15" x14ac:dyDescent="0.4">
      <c r="A73" s="8" t="s">
        <v>97</v>
      </c>
      <c r="B73" s="44"/>
      <c r="C73" s="26"/>
      <c r="D73" s="26">
        <v>0.1</v>
      </c>
      <c r="E73" s="15">
        <v>0</v>
      </c>
      <c r="F73" s="44"/>
      <c r="G73" s="44"/>
    </row>
    <row r="74" spans="1:7" ht="15" x14ac:dyDescent="0.4">
      <c r="A74" s="10" t="s">
        <v>98</v>
      </c>
      <c r="B74" s="44"/>
      <c r="C74" s="26"/>
      <c r="D74" s="26"/>
      <c r="E74" s="15"/>
      <c r="F74" s="44"/>
      <c r="G74" s="44"/>
    </row>
    <row r="75" spans="1:7" ht="15" x14ac:dyDescent="0.4">
      <c r="A75" s="46" t="s">
        <v>99</v>
      </c>
      <c r="B75" s="44"/>
      <c r="C75" s="26"/>
      <c r="D75" s="26"/>
      <c r="E75" s="69"/>
      <c r="F75" s="44"/>
      <c r="G75" s="44"/>
    </row>
    <row r="76" spans="1:7" ht="15" x14ac:dyDescent="0.4">
      <c r="A76" s="46"/>
      <c r="B76" s="44">
        <v>4.6399999999999997</v>
      </c>
      <c r="C76" s="50"/>
      <c r="D76" s="26"/>
      <c r="E76" s="70"/>
      <c r="F76" s="44">
        <v>4.6399999999999997</v>
      </c>
      <c r="G76" s="44"/>
    </row>
    <row r="77" spans="1:7" ht="15" x14ac:dyDescent="0.4">
      <c r="A77" s="10" t="s">
        <v>101</v>
      </c>
      <c r="B77" s="44"/>
      <c r="C77" s="50"/>
      <c r="D77" s="26"/>
      <c r="E77" s="15"/>
      <c r="F77" s="44"/>
      <c r="G77" s="44"/>
    </row>
    <row r="78" spans="1:7" ht="15" x14ac:dyDescent="0.4">
      <c r="A78" s="46" t="s">
        <v>102</v>
      </c>
      <c r="B78" s="44"/>
      <c r="C78" s="50"/>
      <c r="D78" s="26"/>
      <c r="E78" s="69"/>
      <c r="F78" s="44"/>
      <c r="G78" s="44"/>
    </row>
    <row r="79" spans="1:7" ht="15" x14ac:dyDescent="0.4">
      <c r="A79" s="46"/>
      <c r="B79" s="44">
        <v>1.91</v>
      </c>
      <c r="C79" s="26"/>
      <c r="D79" s="26"/>
      <c r="E79" s="70"/>
      <c r="F79" s="44">
        <v>1.91</v>
      </c>
      <c r="G79" s="44"/>
    </row>
    <row r="80" spans="1:7" ht="15" x14ac:dyDescent="0.4">
      <c r="A80" s="10" t="s">
        <v>104</v>
      </c>
      <c r="B80" s="44"/>
      <c r="C80" s="26"/>
      <c r="D80" s="26"/>
      <c r="E80" s="15"/>
      <c r="F80" s="44"/>
      <c r="G80" s="44"/>
    </row>
    <row r="81" spans="1:7" ht="15" x14ac:dyDescent="0.4">
      <c r="A81" s="46" t="s">
        <v>105</v>
      </c>
      <c r="B81" s="44"/>
      <c r="C81" s="26"/>
      <c r="D81" s="26"/>
      <c r="E81" s="69"/>
      <c r="F81" s="44"/>
      <c r="G81" s="44"/>
    </row>
    <row r="82" spans="1:7" ht="15" x14ac:dyDescent="0.4">
      <c r="A82" s="46"/>
      <c r="B82" s="44">
        <v>0.6</v>
      </c>
      <c r="C82" s="26"/>
      <c r="D82" s="26"/>
      <c r="E82" s="70"/>
      <c r="F82" s="44">
        <v>0.6</v>
      </c>
      <c r="G82" s="44"/>
    </row>
    <row r="83" spans="1:7" ht="15" x14ac:dyDescent="0.4">
      <c r="A83" s="10" t="s">
        <v>107</v>
      </c>
      <c r="B83" s="44"/>
      <c r="C83" s="26"/>
      <c r="D83" s="26"/>
      <c r="E83" s="15"/>
      <c r="F83" s="44"/>
      <c r="G83" s="44"/>
    </row>
    <row r="84" spans="1:7" ht="15" x14ac:dyDescent="0.4">
      <c r="A84" s="10" t="s">
        <v>108</v>
      </c>
      <c r="B84" s="44"/>
      <c r="C84" s="26"/>
      <c r="D84" s="26"/>
      <c r="E84" s="15"/>
      <c r="F84" s="44"/>
      <c r="G84" s="44"/>
    </row>
    <row r="85" spans="1:7" ht="15" x14ac:dyDescent="0.4">
      <c r="A85" s="10" t="s">
        <v>110</v>
      </c>
      <c r="B85" s="44"/>
      <c r="C85" s="26"/>
      <c r="D85" s="26"/>
      <c r="E85" s="15"/>
      <c r="F85" s="44"/>
      <c r="G85" s="44"/>
    </row>
    <row r="86" spans="1:7" ht="15" x14ac:dyDescent="0.4">
      <c r="A86" s="48" t="s">
        <v>111</v>
      </c>
      <c r="B86" s="44"/>
      <c r="C86" s="50">
        <v>21</v>
      </c>
      <c r="D86" s="26"/>
      <c r="E86" s="69">
        <v>27.15</v>
      </c>
      <c r="F86" s="44"/>
      <c r="G86" s="44"/>
    </row>
    <row r="87" spans="1:7" ht="15" x14ac:dyDescent="0.4">
      <c r="A87" s="48"/>
      <c r="B87" s="44">
        <v>0.36</v>
      </c>
      <c r="C87" s="50"/>
      <c r="D87" s="26"/>
      <c r="E87" s="70"/>
      <c r="F87" s="44">
        <v>0.36</v>
      </c>
      <c r="G87" s="44"/>
    </row>
    <row r="88" spans="1:7" ht="15" x14ac:dyDescent="0.4">
      <c r="A88" s="14" t="s">
        <v>113</v>
      </c>
      <c r="B88" s="44"/>
      <c r="C88" s="26"/>
      <c r="D88" s="26"/>
      <c r="E88" s="15"/>
      <c r="F88" s="44"/>
      <c r="G88" s="44"/>
    </row>
    <row r="89" spans="1:7" ht="15" x14ac:dyDescent="0.4">
      <c r="A89" s="8" t="s">
        <v>114</v>
      </c>
      <c r="B89" s="44"/>
      <c r="C89" s="26">
        <v>20.5</v>
      </c>
      <c r="D89" s="26">
        <v>0.5</v>
      </c>
      <c r="E89" s="15">
        <v>0</v>
      </c>
      <c r="F89" s="44"/>
      <c r="G89" s="44"/>
    </row>
    <row r="90" spans="1:7" ht="15" x14ac:dyDescent="0.4">
      <c r="A90" s="46" t="s">
        <v>115</v>
      </c>
      <c r="B90" s="44"/>
      <c r="C90" s="26"/>
      <c r="D90" s="26"/>
      <c r="E90" s="69"/>
      <c r="F90" s="44"/>
      <c r="G90" s="44"/>
    </row>
    <row r="91" spans="1:7" ht="15" x14ac:dyDescent="0.4">
      <c r="A91" s="46"/>
      <c r="B91" s="44">
        <v>3.58</v>
      </c>
      <c r="C91" s="26"/>
      <c r="D91" s="26"/>
      <c r="E91" s="70"/>
      <c r="F91" s="44">
        <v>3.58</v>
      </c>
      <c r="G91" s="44"/>
    </row>
    <row r="92" spans="1:7" ht="15" x14ac:dyDescent="0.4">
      <c r="A92" s="10" t="s">
        <v>117</v>
      </c>
      <c r="B92" s="44"/>
      <c r="C92" s="26"/>
      <c r="D92" s="26"/>
      <c r="E92" s="15"/>
      <c r="F92" s="44"/>
      <c r="G92" s="44"/>
    </row>
    <row r="93" spans="1:7" ht="15" x14ac:dyDescent="0.4">
      <c r="A93" s="46" t="s">
        <v>118</v>
      </c>
      <c r="B93" s="44"/>
      <c r="C93" s="26"/>
      <c r="D93" s="26"/>
      <c r="E93" s="69"/>
      <c r="F93" s="44"/>
      <c r="G93" s="44"/>
    </row>
    <row r="94" spans="1:7" ht="15" x14ac:dyDescent="0.4">
      <c r="A94" s="46"/>
      <c r="B94" s="44">
        <v>7.79</v>
      </c>
      <c r="C94" s="26"/>
      <c r="D94" s="26"/>
      <c r="E94" s="70"/>
      <c r="F94" s="44">
        <v>7.79</v>
      </c>
      <c r="G94" s="44"/>
    </row>
    <row r="95" spans="1:7" ht="15" x14ac:dyDescent="0.4">
      <c r="A95" s="10" t="s">
        <v>120</v>
      </c>
      <c r="B95" s="44"/>
      <c r="C95" s="26"/>
      <c r="D95" s="26"/>
      <c r="E95" s="15"/>
      <c r="F95" s="44"/>
      <c r="G95" s="44"/>
    </row>
    <row r="96" spans="1:7" ht="15" x14ac:dyDescent="0.4">
      <c r="A96" s="10" t="s">
        <v>121</v>
      </c>
      <c r="B96" s="44"/>
      <c r="C96" s="26"/>
      <c r="D96" s="26"/>
      <c r="E96" s="15"/>
      <c r="F96" s="44"/>
      <c r="G96" s="44"/>
    </row>
    <row r="97" spans="1:7" ht="15" x14ac:dyDescent="0.4">
      <c r="A97" s="10" t="s">
        <v>123</v>
      </c>
      <c r="B97" s="44"/>
      <c r="C97" s="26"/>
      <c r="D97" s="26"/>
      <c r="E97" s="15"/>
      <c r="F97" s="44"/>
      <c r="G97" s="44"/>
    </row>
    <row r="98" spans="1:7" ht="15" x14ac:dyDescent="0.4">
      <c r="A98" s="46" t="s">
        <v>124</v>
      </c>
      <c r="B98" s="44"/>
      <c r="C98" s="26"/>
      <c r="D98" s="26"/>
      <c r="E98" s="69"/>
      <c r="F98" s="44"/>
      <c r="G98" s="44"/>
    </row>
    <row r="99" spans="1:7" ht="15" x14ac:dyDescent="0.4">
      <c r="A99" s="46"/>
      <c r="B99" s="44">
        <v>0.45</v>
      </c>
      <c r="C99" s="26"/>
      <c r="D99" s="26"/>
      <c r="E99" s="70"/>
      <c r="F99" s="44">
        <v>0.45</v>
      </c>
      <c r="G99" s="44"/>
    </row>
    <row r="100" spans="1:7" ht="15" x14ac:dyDescent="0.4">
      <c r="A100" s="10" t="s">
        <v>126</v>
      </c>
      <c r="B100" s="44"/>
      <c r="C100" s="26"/>
      <c r="D100" s="26"/>
      <c r="E100" s="15"/>
      <c r="F100" s="44"/>
      <c r="G100" s="44"/>
    </row>
    <row r="101" spans="1:7" ht="15" x14ac:dyDescent="0.4">
      <c r="A101" s="46" t="s">
        <v>127</v>
      </c>
      <c r="B101" s="44"/>
      <c r="C101" s="26"/>
      <c r="D101" s="26"/>
      <c r="E101" s="69"/>
      <c r="F101" s="44"/>
      <c r="G101" s="44"/>
    </row>
    <row r="102" spans="1:7" ht="15" x14ac:dyDescent="0.4">
      <c r="A102" s="46"/>
      <c r="B102" s="44">
        <v>0.64</v>
      </c>
      <c r="C102" s="26"/>
      <c r="D102" s="26"/>
      <c r="E102" s="70"/>
      <c r="F102" s="44">
        <v>0.64</v>
      </c>
      <c r="G102" s="44"/>
    </row>
    <row r="103" spans="1:7" ht="15" x14ac:dyDescent="0.4">
      <c r="A103" s="10" t="s">
        <v>127</v>
      </c>
      <c r="B103" s="44"/>
      <c r="C103" s="26"/>
      <c r="D103" s="26"/>
      <c r="E103" s="15"/>
      <c r="F103" s="44"/>
      <c r="G103" s="44"/>
    </row>
    <row r="104" spans="1:7" ht="15" x14ac:dyDescent="0.4">
      <c r="A104" s="46" t="s">
        <v>129</v>
      </c>
      <c r="B104" s="44"/>
      <c r="C104" s="26"/>
      <c r="D104" s="26"/>
      <c r="E104" s="69"/>
      <c r="F104" s="44"/>
      <c r="G104" s="44"/>
    </row>
    <row r="105" spans="1:7" ht="15" x14ac:dyDescent="0.4">
      <c r="A105" s="46"/>
      <c r="B105" s="44">
        <v>0.52</v>
      </c>
      <c r="C105" s="26"/>
      <c r="D105" s="26"/>
      <c r="E105" s="70"/>
      <c r="F105" s="44">
        <v>0.52</v>
      </c>
      <c r="G105" s="44"/>
    </row>
    <row r="106" spans="1:7" ht="15" x14ac:dyDescent="0.4">
      <c r="A106" s="10" t="s">
        <v>131</v>
      </c>
      <c r="B106" s="44"/>
      <c r="C106" s="26"/>
      <c r="D106" s="26"/>
      <c r="E106" s="15"/>
      <c r="F106" s="44"/>
      <c r="G106" s="44"/>
    </row>
    <row r="107" spans="1:7" ht="15" x14ac:dyDescent="0.4">
      <c r="A107" s="46" t="s">
        <v>132</v>
      </c>
      <c r="B107" s="44"/>
      <c r="C107" s="26"/>
      <c r="D107" s="26"/>
      <c r="E107" s="69">
        <v>26.28</v>
      </c>
      <c r="F107" s="44"/>
      <c r="G107" s="44"/>
    </row>
    <row r="108" spans="1:7" ht="15" x14ac:dyDescent="0.4">
      <c r="A108" s="46"/>
      <c r="B108" s="44">
        <v>0.92</v>
      </c>
      <c r="C108" s="26"/>
      <c r="D108" s="26"/>
      <c r="E108" s="70"/>
      <c r="F108" s="44">
        <v>0.92</v>
      </c>
      <c r="G108" s="44"/>
    </row>
    <row r="109" spans="1:7" ht="15" x14ac:dyDescent="0.4">
      <c r="A109" s="10" t="s">
        <v>134</v>
      </c>
      <c r="B109" s="44"/>
      <c r="C109" s="26"/>
      <c r="D109" s="26"/>
      <c r="E109" s="15"/>
      <c r="F109" s="44"/>
      <c r="G109" s="44"/>
    </row>
    <row r="110" spans="1:7" ht="15" x14ac:dyDescent="0.4">
      <c r="A110" s="46" t="s">
        <v>135</v>
      </c>
      <c r="B110" s="44"/>
      <c r="C110" s="26"/>
      <c r="D110" s="26"/>
      <c r="E110" s="71"/>
      <c r="F110" s="44"/>
      <c r="G110" s="44"/>
    </row>
    <row r="111" spans="1:7" ht="15" x14ac:dyDescent="0.4">
      <c r="A111" s="46"/>
      <c r="B111" s="44">
        <v>1.27</v>
      </c>
      <c r="C111" s="26"/>
      <c r="D111" s="26"/>
      <c r="E111" s="72"/>
      <c r="F111" s="44">
        <v>1.27</v>
      </c>
      <c r="G111" s="44"/>
    </row>
    <row r="112" spans="1:7" ht="15" x14ac:dyDescent="0.4">
      <c r="A112" s="10" t="s">
        <v>137</v>
      </c>
      <c r="B112" s="44"/>
      <c r="C112" s="26"/>
      <c r="D112" s="26"/>
      <c r="E112" s="15"/>
      <c r="F112" s="44"/>
      <c r="G112" s="44"/>
    </row>
    <row r="113" spans="1:7" ht="15" x14ac:dyDescent="0.4">
      <c r="A113" s="46" t="s">
        <v>60</v>
      </c>
      <c r="B113" s="44"/>
      <c r="C113" s="26"/>
      <c r="D113" s="26"/>
      <c r="E113" s="69"/>
      <c r="F113" s="44"/>
      <c r="G113" s="44"/>
    </row>
    <row r="114" spans="1:7" ht="15" x14ac:dyDescent="0.4">
      <c r="A114" s="46"/>
      <c r="B114" s="44">
        <v>5.74</v>
      </c>
      <c r="C114" s="26"/>
      <c r="D114" s="26"/>
      <c r="E114" s="70"/>
      <c r="F114" s="44">
        <v>5.74</v>
      </c>
      <c r="G114" s="44"/>
    </row>
    <row r="115" spans="1:7" ht="15" x14ac:dyDescent="0.4">
      <c r="A115" s="10" t="s">
        <v>62</v>
      </c>
      <c r="B115" s="44"/>
      <c r="C115" s="28"/>
      <c r="D115" s="26"/>
      <c r="E115" s="15"/>
      <c r="F115" s="44"/>
      <c r="G115" s="44"/>
    </row>
    <row r="116" spans="1:7" ht="15" x14ac:dyDescent="0.4">
      <c r="A116" s="46" t="s">
        <v>139</v>
      </c>
      <c r="B116" s="44"/>
      <c r="C116" s="28"/>
      <c r="D116" s="26"/>
      <c r="E116" s="69"/>
      <c r="F116" s="44"/>
      <c r="G116" s="44"/>
    </row>
    <row r="117" spans="1:7" ht="15" x14ac:dyDescent="0.4">
      <c r="A117" s="46"/>
      <c r="B117" s="44">
        <v>1.71</v>
      </c>
      <c r="C117" s="28"/>
      <c r="D117" s="26"/>
      <c r="E117" s="70"/>
      <c r="F117" s="44">
        <v>1.71</v>
      </c>
      <c r="G117" s="44"/>
    </row>
    <row r="118" spans="1:7" ht="15" x14ac:dyDescent="0.4">
      <c r="A118" s="10" t="s">
        <v>142</v>
      </c>
      <c r="B118" s="44"/>
      <c r="C118" s="28"/>
      <c r="D118" s="26"/>
      <c r="E118" s="15"/>
      <c r="F118" s="44"/>
      <c r="G118" s="44"/>
    </row>
    <row r="119" spans="1:7" ht="15" x14ac:dyDescent="0.4">
      <c r="A119" s="10" t="s">
        <v>143</v>
      </c>
      <c r="B119" s="44"/>
      <c r="C119" s="28"/>
      <c r="D119" s="26"/>
      <c r="E119" s="15"/>
      <c r="F119" s="44"/>
      <c r="G119" s="44"/>
    </row>
    <row r="120" spans="1:7" ht="15" x14ac:dyDescent="0.4">
      <c r="A120" s="10" t="s">
        <v>145</v>
      </c>
      <c r="B120" s="44"/>
      <c r="C120" s="26"/>
      <c r="D120" s="26"/>
      <c r="E120" s="15"/>
      <c r="F120" s="44"/>
      <c r="G120" s="44"/>
    </row>
    <row r="121" spans="1:7" ht="15" x14ac:dyDescent="0.4">
      <c r="A121" s="15" t="s">
        <v>146</v>
      </c>
      <c r="B121" s="44"/>
      <c r="C121" s="26"/>
      <c r="D121" s="26"/>
      <c r="E121" s="15"/>
      <c r="F121" s="44"/>
      <c r="G121" s="44"/>
    </row>
    <row r="122" spans="1:7" ht="15" x14ac:dyDescent="0.4">
      <c r="A122" s="10" t="s">
        <v>148</v>
      </c>
      <c r="B122" s="44"/>
      <c r="C122" s="26"/>
      <c r="D122" s="26"/>
      <c r="E122" s="15"/>
      <c r="F122" s="44"/>
      <c r="G122" s="44"/>
    </row>
    <row r="123" spans="1:7" ht="15" x14ac:dyDescent="0.4">
      <c r="A123" s="46" t="s">
        <v>149</v>
      </c>
      <c r="B123" s="44"/>
      <c r="C123" s="26"/>
      <c r="D123" s="26"/>
      <c r="E123" s="69"/>
      <c r="F123" s="44"/>
      <c r="G123" s="44"/>
    </row>
    <row r="124" spans="1:7" ht="15" x14ac:dyDescent="0.4">
      <c r="A124" s="46"/>
      <c r="B124" s="44">
        <v>-0.99</v>
      </c>
      <c r="C124" s="26"/>
      <c r="D124" s="26"/>
      <c r="E124" s="70"/>
      <c r="F124" s="44">
        <v>-0.99</v>
      </c>
      <c r="G124" s="44"/>
    </row>
    <row r="125" spans="1:7" ht="15" x14ac:dyDescent="0.4">
      <c r="A125" s="10" t="s">
        <v>151</v>
      </c>
      <c r="B125" s="44"/>
      <c r="C125" s="26"/>
      <c r="D125" s="26"/>
      <c r="E125" s="15"/>
      <c r="F125" s="44"/>
      <c r="G125" s="44"/>
    </row>
    <row r="126" spans="1:7" ht="15" x14ac:dyDescent="0.4">
      <c r="A126" s="10" t="s">
        <v>152</v>
      </c>
      <c r="B126" s="44"/>
      <c r="C126" s="26"/>
      <c r="D126" s="26"/>
      <c r="E126" s="15"/>
      <c r="F126" s="44"/>
      <c r="G126" s="44"/>
    </row>
    <row r="127" spans="1:7" ht="15" x14ac:dyDescent="0.4">
      <c r="A127" s="10" t="s">
        <v>154</v>
      </c>
      <c r="B127" s="44"/>
      <c r="C127" s="26"/>
      <c r="D127" s="26"/>
      <c r="E127" s="15"/>
      <c r="F127" s="44"/>
      <c r="G127" s="44"/>
    </row>
    <row r="128" spans="1:7" ht="15" x14ac:dyDescent="0.4">
      <c r="A128" s="10" t="s">
        <v>155</v>
      </c>
      <c r="B128" s="44"/>
      <c r="C128" s="26"/>
      <c r="D128" s="26"/>
      <c r="E128" s="15"/>
      <c r="F128" s="44"/>
      <c r="G128" s="44"/>
    </row>
    <row r="129" spans="1:7" ht="15" x14ac:dyDescent="0.4">
      <c r="A129" s="10" t="s">
        <v>157</v>
      </c>
      <c r="B129" s="44"/>
      <c r="C129" s="26"/>
      <c r="D129" s="26"/>
      <c r="E129" s="15"/>
      <c r="F129" s="44"/>
      <c r="G129" s="44"/>
    </row>
    <row r="130" spans="1:7" ht="15" x14ac:dyDescent="0.4">
      <c r="A130" s="8" t="s">
        <v>158</v>
      </c>
      <c r="B130" s="44"/>
      <c r="C130" s="26"/>
      <c r="D130" s="26">
        <v>1.8</v>
      </c>
      <c r="E130" s="15">
        <v>0</v>
      </c>
      <c r="F130" s="44"/>
      <c r="G130" s="44"/>
    </row>
    <row r="131" spans="1:7" ht="13.5" customHeight="1" x14ac:dyDescent="0.4">
      <c r="A131" s="14" t="s">
        <v>159</v>
      </c>
      <c r="B131" s="44"/>
      <c r="C131" s="26">
        <v>18.7</v>
      </c>
      <c r="D131" s="26"/>
      <c r="E131" s="15">
        <v>28.98</v>
      </c>
      <c r="F131" s="44"/>
      <c r="G131" s="44"/>
    </row>
    <row r="132" spans="1:7" x14ac:dyDescent="0.3">
      <c r="C132"/>
    </row>
    <row r="133" spans="1:7" x14ac:dyDescent="0.3">
      <c r="C133"/>
    </row>
    <row r="134" spans="1:7" x14ac:dyDescent="0.3">
      <c r="C134"/>
    </row>
  </sheetData>
  <mergeCells count="156">
    <mergeCell ref="G117:G123"/>
    <mergeCell ref="G124:G131"/>
    <mergeCell ref="G99:G101"/>
    <mergeCell ref="G102:G104"/>
    <mergeCell ref="G105:G107"/>
    <mergeCell ref="G108:G110"/>
    <mergeCell ref="G111:G113"/>
    <mergeCell ref="G114:G116"/>
    <mergeCell ref="G76:G78"/>
    <mergeCell ref="G79:G81"/>
    <mergeCell ref="G82:G86"/>
    <mergeCell ref="G87:G90"/>
    <mergeCell ref="G91:G93"/>
    <mergeCell ref="G94:G98"/>
    <mergeCell ref="G52:G58"/>
    <mergeCell ref="G59:G62"/>
    <mergeCell ref="G63:G65"/>
    <mergeCell ref="G66:G68"/>
    <mergeCell ref="G69:G71"/>
    <mergeCell ref="G72:G75"/>
    <mergeCell ref="G26:G32"/>
    <mergeCell ref="G33:G35"/>
    <mergeCell ref="G36:G40"/>
    <mergeCell ref="G41:G45"/>
    <mergeCell ref="G46:G48"/>
    <mergeCell ref="G49:G51"/>
    <mergeCell ref="G2:G3"/>
    <mergeCell ref="G4:G6"/>
    <mergeCell ref="G7:G12"/>
    <mergeCell ref="G13:G17"/>
    <mergeCell ref="G18:G25"/>
    <mergeCell ref="F114:F116"/>
    <mergeCell ref="F117:F123"/>
    <mergeCell ref="F124:F131"/>
    <mergeCell ref="F72:F75"/>
    <mergeCell ref="F76:F78"/>
    <mergeCell ref="F79:F81"/>
    <mergeCell ref="F82:F86"/>
    <mergeCell ref="F87:F90"/>
    <mergeCell ref="F91:F93"/>
    <mergeCell ref="F18:F25"/>
    <mergeCell ref="F26:F32"/>
    <mergeCell ref="F33:F35"/>
    <mergeCell ref="F36:F40"/>
    <mergeCell ref="F41:F45"/>
    <mergeCell ref="F46:F48"/>
    <mergeCell ref="F102:F104"/>
    <mergeCell ref="F105:F107"/>
    <mergeCell ref="F108:F110"/>
    <mergeCell ref="F111:F113"/>
    <mergeCell ref="F94:F98"/>
    <mergeCell ref="F99:F101"/>
    <mergeCell ref="F59:F62"/>
    <mergeCell ref="F63:F65"/>
    <mergeCell ref="F66:F68"/>
    <mergeCell ref="F69:F71"/>
    <mergeCell ref="F49:F51"/>
    <mergeCell ref="F52:F58"/>
    <mergeCell ref="F2:F3"/>
    <mergeCell ref="F4:F6"/>
    <mergeCell ref="F7:F12"/>
    <mergeCell ref="F13:F17"/>
    <mergeCell ref="E104:E105"/>
    <mergeCell ref="E107:E108"/>
    <mergeCell ref="E110:E111"/>
    <mergeCell ref="E113:E114"/>
    <mergeCell ref="E116:E117"/>
    <mergeCell ref="E123:E124"/>
    <mergeCell ref="E81:E82"/>
    <mergeCell ref="E86:E87"/>
    <mergeCell ref="E90:E91"/>
    <mergeCell ref="E93:E94"/>
    <mergeCell ref="E98:E99"/>
    <mergeCell ref="E101:E102"/>
    <mergeCell ref="E62:E63"/>
    <mergeCell ref="E65:E66"/>
    <mergeCell ref="E68:E69"/>
    <mergeCell ref="E71:E72"/>
    <mergeCell ref="E75:E76"/>
    <mergeCell ref="E78:E79"/>
    <mergeCell ref="E35:E36"/>
    <mergeCell ref="E40:E41"/>
    <mergeCell ref="E45:E46"/>
    <mergeCell ref="E48:E49"/>
    <mergeCell ref="E51:E52"/>
    <mergeCell ref="E58:E59"/>
    <mergeCell ref="B124:B131"/>
    <mergeCell ref="C51:C52"/>
    <mergeCell ref="C76:C78"/>
    <mergeCell ref="C86:C87"/>
    <mergeCell ref="E3:E4"/>
    <mergeCell ref="E6:E7"/>
    <mergeCell ref="E12:E13"/>
    <mergeCell ref="E17:E18"/>
    <mergeCell ref="E25:E26"/>
    <mergeCell ref="E32:E33"/>
    <mergeCell ref="B102:B104"/>
    <mergeCell ref="B105:B107"/>
    <mergeCell ref="B108:B110"/>
    <mergeCell ref="B111:B113"/>
    <mergeCell ref="B114:B116"/>
    <mergeCell ref="B117:B123"/>
    <mergeCell ref="B79:B81"/>
    <mergeCell ref="B82:B86"/>
    <mergeCell ref="B87:B90"/>
    <mergeCell ref="B91:B93"/>
    <mergeCell ref="B94:B98"/>
    <mergeCell ref="B99:B101"/>
    <mergeCell ref="B59:B62"/>
    <mergeCell ref="B63:B65"/>
    <mergeCell ref="B66:B68"/>
    <mergeCell ref="B69:B71"/>
    <mergeCell ref="B72:B75"/>
    <mergeCell ref="B76:B78"/>
    <mergeCell ref="B33:B35"/>
    <mergeCell ref="B36:B40"/>
    <mergeCell ref="B41:B45"/>
    <mergeCell ref="B46:B48"/>
    <mergeCell ref="B49:B51"/>
    <mergeCell ref="B52:B58"/>
    <mergeCell ref="B2:B3"/>
    <mergeCell ref="B4:B6"/>
    <mergeCell ref="B7:B12"/>
    <mergeCell ref="B13:B17"/>
    <mergeCell ref="B18:B25"/>
    <mergeCell ref="B26:B32"/>
    <mergeCell ref="A104:A105"/>
    <mergeCell ref="A107:A108"/>
    <mergeCell ref="A110:A111"/>
    <mergeCell ref="A62:A63"/>
    <mergeCell ref="A65:A66"/>
    <mergeCell ref="A68:A69"/>
    <mergeCell ref="A71:A72"/>
    <mergeCell ref="A75:A76"/>
    <mergeCell ref="A78:A79"/>
    <mergeCell ref="A35:A36"/>
    <mergeCell ref="A40:A41"/>
    <mergeCell ref="A45:A46"/>
    <mergeCell ref="A48:A49"/>
    <mergeCell ref="A51:A52"/>
    <mergeCell ref="A58:A59"/>
    <mergeCell ref="A3:A4"/>
    <mergeCell ref="A6:A7"/>
    <mergeCell ref="A12:A13"/>
    <mergeCell ref="A17:A18"/>
    <mergeCell ref="A25:A26"/>
    <mergeCell ref="A32:A33"/>
    <mergeCell ref="A113:A114"/>
    <mergeCell ref="A116:A117"/>
    <mergeCell ref="A123:A124"/>
    <mergeCell ref="A81:A82"/>
    <mergeCell ref="A86:A87"/>
    <mergeCell ref="A90:A91"/>
    <mergeCell ref="A93:A94"/>
    <mergeCell ref="A98:A99"/>
    <mergeCell ref="A101:A10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17181-B07E-436D-AC5D-CAE8A2C4E3CF}">
  <dimension ref="C4:J13"/>
  <sheetViews>
    <sheetView zoomScaleNormal="100" workbookViewId="0">
      <selection activeCell="C5" sqref="C5"/>
    </sheetView>
  </sheetViews>
  <sheetFormatPr defaultRowHeight="13.5" x14ac:dyDescent="0.3"/>
  <cols>
    <col min="3" max="3" width="30.33203125" customWidth="1"/>
  </cols>
  <sheetData>
    <row r="4" spans="3:10" x14ac:dyDescent="0.3">
      <c r="D4">
        <v>22.5</v>
      </c>
      <c r="F4">
        <v>27.2</v>
      </c>
      <c r="H4" s="34" t="s">
        <v>198</v>
      </c>
    </row>
    <row r="5" spans="3:10" x14ac:dyDescent="0.3">
      <c r="D5" s="34" t="s">
        <v>194</v>
      </c>
      <c r="E5" s="34" t="s">
        <v>196</v>
      </c>
      <c r="F5" s="34" t="s">
        <v>195</v>
      </c>
      <c r="G5" s="34" t="s">
        <v>196</v>
      </c>
      <c r="H5" s="34" t="s">
        <v>197</v>
      </c>
    </row>
    <row r="6" spans="3:10" ht="13.5" customHeight="1" x14ac:dyDescent="0.3">
      <c r="C6" s="29" t="s">
        <v>72</v>
      </c>
      <c r="D6" s="21">
        <v>2</v>
      </c>
      <c r="E6" s="2">
        <v>170869.9</v>
      </c>
      <c r="F6" s="21">
        <v>2.0499999999999998</v>
      </c>
      <c r="G6" s="2">
        <v>172836.8</v>
      </c>
      <c r="H6">
        <f t="shared" ref="H6:H12" si="0">(E6-G6)/4.7/3600</f>
        <v>-0.11624704491725733</v>
      </c>
      <c r="I6">
        <f>INT(H6)</f>
        <v>-1</v>
      </c>
      <c r="J6">
        <f>(H6-I6)*60</f>
        <v>53.025177304964558</v>
      </c>
    </row>
    <row r="7" spans="3:10" ht="15" x14ac:dyDescent="0.4">
      <c r="C7" s="10" t="s">
        <v>75</v>
      </c>
      <c r="D7" s="21">
        <v>11.71</v>
      </c>
      <c r="E7" s="2">
        <v>55012.3</v>
      </c>
      <c r="F7" s="21">
        <v>10.89</v>
      </c>
      <c r="G7" s="2">
        <v>41992.61</v>
      </c>
      <c r="H7">
        <f t="shared" si="0"/>
        <v>0.76948522458628843</v>
      </c>
      <c r="I7">
        <f t="shared" ref="I7:I12" si="1">INT(H7)</f>
        <v>0</v>
      </c>
      <c r="J7">
        <f t="shared" ref="J7:J12" si="2">(H7-I7)*60</f>
        <v>46.169113475177305</v>
      </c>
    </row>
    <row r="8" spans="3:10" ht="13.5" customHeight="1" x14ac:dyDescent="0.4">
      <c r="C8" s="10" t="s">
        <v>78</v>
      </c>
      <c r="D8" s="21">
        <v>11.45</v>
      </c>
      <c r="E8" s="2">
        <v>2834.7820000000002</v>
      </c>
      <c r="F8" s="21">
        <v>10.84</v>
      </c>
      <c r="G8" s="2">
        <v>2795.0309999999999</v>
      </c>
      <c r="H8">
        <f t="shared" si="0"/>
        <v>2.3493498817967022E-3</v>
      </c>
      <c r="I8">
        <f t="shared" si="1"/>
        <v>0</v>
      </c>
      <c r="J8">
        <f t="shared" si="2"/>
        <v>0.14096099290780212</v>
      </c>
    </row>
    <row r="9" spans="3:10" ht="13.5" customHeight="1" x14ac:dyDescent="0.3">
      <c r="C9" s="20" t="s">
        <v>81</v>
      </c>
      <c r="D9" s="21">
        <v>10.56</v>
      </c>
      <c r="E9" s="2">
        <v>239597</v>
      </c>
      <c r="F9" s="20">
        <v>10.14</v>
      </c>
      <c r="G9" s="2">
        <v>220433</v>
      </c>
      <c r="H9">
        <f t="shared" si="0"/>
        <v>1.1326241134751773</v>
      </c>
      <c r="I9">
        <f t="shared" si="1"/>
        <v>1</v>
      </c>
      <c r="J9">
        <f t="shared" si="2"/>
        <v>7.9574468085106398</v>
      </c>
    </row>
    <row r="10" spans="3:10" ht="13.5" customHeight="1" x14ac:dyDescent="0.3">
      <c r="C10" s="20" t="s">
        <v>86</v>
      </c>
      <c r="D10" s="20">
        <v>10.08</v>
      </c>
      <c r="E10" s="2">
        <v>334366.90000000002</v>
      </c>
      <c r="F10" s="20">
        <v>9.6</v>
      </c>
      <c r="G10" s="2">
        <v>281423.3</v>
      </c>
      <c r="H10">
        <f t="shared" si="0"/>
        <v>3.129054373522461</v>
      </c>
      <c r="I10">
        <f t="shared" si="1"/>
        <v>3</v>
      </c>
      <c r="J10">
        <f t="shared" si="2"/>
        <v>7.7432624113476578</v>
      </c>
    </row>
    <row r="11" spans="3:10" ht="13.5" customHeight="1" x14ac:dyDescent="0.3">
      <c r="C11" s="20" t="s">
        <v>89</v>
      </c>
      <c r="D11" s="20">
        <v>9.77</v>
      </c>
      <c r="E11" s="2">
        <v>320565.3</v>
      </c>
      <c r="F11" s="20">
        <v>9.07</v>
      </c>
      <c r="G11" s="2">
        <v>249787.2</v>
      </c>
      <c r="H11">
        <f t="shared" si="0"/>
        <v>4.1831028368794314</v>
      </c>
      <c r="I11">
        <f t="shared" si="1"/>
        <v>4</v>
      </c>
      <c r="J11">
        <f t="shared" si="2"/>
        <v>10.986170212765884</v>
      </c>
    </row>
    <row r="12" spans="3:10" ht="15" x14ac:dyDescent="0.3">
      <c r="C12" s="21" t="s">
        <v>92</v>
      </c>
      <c r="D12" s="21">
        <v>9.5500000000000007</v>
      </c>
      <c r="E12" s="2">
        <v>570.87519999999995</v>
      </c>
      <c r="F12" s="22">
        <v>8.7200000000000006</v>
      </c>
      <c r="G12" s="2">
        <v>561.01009999999997</v>
      </c>
      <c r="H12">
        <f t="shared" si="0"/>
        <v>5.8304373522458531E-4</v>
      </c>
      <c r="I12">
        <f t="shared" si="1"/>
        <v>0</v>
      </c>
      <c r="J12">
        <f t="shared" si="2"/>
        <v>3.4982624113475122E-2</v>
      </c>
    </row>
    <row r="13" spans="3:10" ht="15" x14ac:dyDescent="0.3">
      <c r="C13" s="21" t="s">
        <v>95</v>
      </c>
      <c r="D13" s="21">
        <v>8.9600000000000009</v>
      </c>
      <c r="E13" s="21"/>
      <c r="F13" s="21">
        <v>8.3699999999999992</v>
      </c>
    </row>
  </sheetData>
  <phoneticPr fontId="6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wjz69</dc:creator>
  <cp:lastModifiedBy>杨 茗涵</cp:lastModifiedBy>
  <dcterms:created xsi:type="dcterms:W3CDTF">2023-12-07T08:38:00Z</dcterms:created>
  <dcterms:modified xsi:type="dcterms:W3CDTF">2023-12-10T11:20:26Z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47E897AD80B34B44BBC7EFBD6C627A6C_11</vt:lpwstr>
  </property>
  <property fmtid="{D5CDD505-2E9C-101B-9397-08002B2CF9AE}" pid="3" name="KSOProductBuildVer">
    <vt:lpwstr>2052-12.1.0.15990</vt:lpwstr>
  </property>
</Properties>
</file>